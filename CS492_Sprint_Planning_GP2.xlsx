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600" firstSheet="7" activeTab="4" autoFilterDateGrouping="1"/>
  </bookViews>
  <sheets>
    <sheet xmlns:r="http://schemas.openxmlformats.org/officeDocument/2006/relationships" name="Introduction" sheetId="1" state="visible" r:id="rId1"/>
    <sheet xmlns:r="http://schemas.openxmlformats.org/officeDocument/2006/relationships" name="Product backlog"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1 Retrospective" sheetId="5" state="visible" r:id="rId5"/>
    <sheet xmlns:r="http://schemas.openxmlformats.org/officeDocument/2006/relationships" name="Emergency Guide" sheetId="6" state="visible" r:id="rId6"/>
    <sheet xmlns:r="http://schemas.openxmlformats.org/officeDocument/2006/relationships" name="Quick Copy" sheetId="7" state="visible" r:id="rId7"/>
    <sheet xmlns:r="http://schemas.openxmlformats.org/officeDocument/2006/relationships" name="Submission Alignment" sheetId="8" state="visible" r:id="rId8"/>
    <sheet xmlns:r="http://schemas.openxmlformats.org/officeDocument/2006/relationships" name="Package Contents" sheetId="9" state="visible" r:id="rId9"/>
    <sheet xmlns:r="http://schemas.openxmlformats.org/officeDocument/2006/relationships" name="Emergency Task Guide" sheetId="10" state="visible" r:id="rId10"/>
  </sheets>
  <definedNames>
    <definedName name="Z_988818D5_2AEF_4A9A_A55E_18240173EC63_.wvu.FilterData" localSheetId="1" hidden="1">'Product backlog'!$A$10:$F$10</definedName>
    <definedName name="Z_AF9CDD9E_3CB3_EE48_8887_F1090B6AE042_.wvu.FilterData" localSheetId="1" hidden="1">'Product backlog'!$A$10:$F$10</definedName>
    <definedName name="Z_F117AA09_D9DE_4D2E_A2DF_77AB3D7617C3_.wvu.FilterData" localSheetId="1" hidden="1">'Product backlog'!$A$10:$F$10</definedName>
    <definedName name="_xlnm._FilterDatabase" localSheetId="1" hidden="1">'Product backlog'!$B$1:$F$1</definedName>
    <definedName name="Z_988818D5_2AEF_4A9A_A55E_18240173EC63_.wvu.FilterData" localSheetId="2" hidden="1">'Sprint 1'!$A$10:$E$10</definedName>
    <definedName name="Z_AF9CDD9E_3CB3_EE48_8887_F1090B6AE042_.wvu.FilterData" localSheetId="2" hidden="1">'Sprint 1'!$A$10:$E$10</definedName>
    <definedName name="Z_F117AA09_D9DE_4D2E_A2DF_77AB3D7617C3_.wvu.FilterData" localSheetId="2" hidden="1">'Sprint 1'!$A$10:$E$10</definedName>
    <definedName name="_xlnm._FilterDatabase" localSheetId="2" hidden="1">'Sprint 1'!$A$10:$E$10</definedName>
    <definedName name="Z_988818D5_2AEF_4A9A_A55E_18240173EC63_.wvu.FilterData" localSheetId="3" hidden="1">'Sprint 2'!$A$10:$E$10</definedName>
    <definedName name="Z_AF9CDD9E_3CB3_EE48_8887_F1090B6AE042_.wvu.FilterData" localSheetId="3" hidden="1">'Sprint 2'!$A$10:$E$10</definedName>
    <definedName name="Z_F117AA09_D9DE_4D2E_A2DF_77AB3D7617C3_.wvu.FilterData" localSheetId="3" hidden="1">'Sprint 2'!$A$10:$E$10</definedName>
  </definedNames>
  <calcPr calcId="191028" fullCalcOnLoad="1"/>
</workbook>
</file>

<file path=xl/styles.xml><?xml version="1.0" encoding="utf-8"?>
<styleSheet xmlns="http://schemas.openxmlformats.org/spreadsheetml/2006/main">
  <numFmts count="2">
    <numFmt numFmtId="164" formatCode="0.0"/>
    <numFmt numFmtId="165" formatCode="ddd\ dd/mm"/>
  </numFmts>
  <fonts count="47">
    <font>
      <name val="Arial"/>
      <sz val="10"/>
    </font>
    <font>
      <name val="Arial"/>
      <family val="2"/>
      <b val="1"/>
      <sz val="10"/>
    </font>
    <font>
      <name val="Arial"/>
      <family val="2"/>
      <b val="1"/>
      <i val="1"/>
      <sz val="10"/>
    </font>
    <font>
      <name val="Arial"/>
      <family val="2"/>
      <color indexed="12"/>
      <sz val="10"/>
      <u val="single"/>
    </font>
    <font>
      <name val="Arial"/>
      <family val="2"/>
      <sz val="8"/>
    </font>
    <font>
      <name val="Arial"/>
      <family val="2"/>
      <sz val="10"/>
    </font>
    <font>
      <name val="Arial"/>
      <family val="2"/>
      <i val="1"/>
      <sz val="10"/>
    </font>
    <font>
      <name val="Calibri"/>
      <family val="2"/>
      <sz val="10"/>
    </font>
    <font>
      <name val="Arial"/>
      <family val="2"/>
      <sz val="10"/>
    </font>
    <font>
      <name val="Times New Roman"/>
      <family val="1"/>
      <sz val="12"/>
    </font>
    <font>
      <name val="Times New Roman"/>
      <family val="1"/>
      <b val="1"/>
      <sz val="12"/>
    </font>
    <font>
      <name val="Times New Roman"/>
      <family val="1"/>
      <i val="1"/>
      <sz val="12"/>
    </font>
    <font>
      <name val="Times New Roman"/>
      <family val="1"/>
      <b val="1"/>
      <i val="1"/>
      <sz val="12"/>
    </font>
    <font>
      <name val="Calibri"/>
      <family val="2"/>
      <sz val="10"/>
      <scheme val="minor"/>
    </font>
    <font>
      <name val="Calibri"/>
      <family val="2"/>
      <b val="1"/>
      <i val="1"/>
      <sz val="10"/>
      <scheme val="minor"/>
    </font>
    <font>
      <name val="Calibri"/>
      <family val="2"/>
      <color indexed="12"/>
      <sz val="10"/>
      <u val="single"/>
      <scheme val="minor"/>
    </font>
    <font>
      <name val="Calibri"/>
      <family val="2"/>
      <b val="1"/>
      <sz val="10"/>
      <scheme val="minor"/>
    </font>
    <font>
      <name val="Calibri"/>
      <family val="2"/>
      <color indexed="8"/>
      <sz val="10"/>
      <scheme val="minor"/>
    </font>
    <font>
      <name val="Times New Roman"/>
      <family val="1"/>
      <b val="1"/>
      <i val="1"/>
      <sz val="12"/>
    </font>
    <font>
      <name val="Times New Roman"/>
      <i val="1"/>
      <sz val="12"/>
    </font>
    <font>
      <name val="Calibri"/>
      <family val="2"/>
      <color rgb="FF000000"/>
      <sz val="14"/>
      <scheme val="minor"/>
    </font>
    <font>
      <name val="Calibri"/>
      <family val="2"/>
      <color rgb="FF000000"/>
      <sz val="10"/>
      <scheme val="minor"/>
    </font>
    <font>
      <name val="Times New Roman"/>
      <family val="1"/>
      <color rgb="FF000000"/>
      <sz val="12"/>
    </font>
    <font>
      <name val="Arial"/>
      <family val="2"/>
      <color rgb="FF000000"/>
      <sz val="14"/>
    </font>
    <font>
      <name val="Arial"/>
      <b val="1"/>
      <color rgb="FFFFFFFF"/>
      <sz val="16"/>
    </font>
    <font>
      <name val="Arial"/>
      <b val="1"/>
      <sz val="10"/>
    </font>
    <font>
      <name val="Arial"/>
      <b val="1"/>
      <color rgb="FFFFFFFF"/>
      <sz val="10"/>
    </font>
    <font>
      <name val="Arial"/>
      <b val="1"/>
      <color rgb="FFFF0000"/>
      <sz val="10"/>
    </font>
    <font>
      <name val="Arial"/>
      <b val="1"/>
      <sz val="14"/>
    </font>
    <font>
      <name val="Arial"/>
      <b val="1"/>
      <color rgb="FFFFFFFF"/>
      <sz val="14"/>
    </font>
    <font>
      <name val="Arial"/>
      <color rgb="FFFFFFFF"/>
      <sz val="10"/>
    </font>
    <font>
      <name val="Arial"/>
      <family val="2"/>
      <b val="1"/>
      <color rgb="FFFFFFFF"/>
      <sz val="10"/>
    </font>
    <font>
      <name val="Arial"/>
      <color rgb="FF375623"/>
      <sz val="10"/>
    </font>
    <font>
      <name val="Arial"/>
      <color rgb="FF7F6000"/>
      <sz val="10"/>
    </font>
    <font>
      <name val="Arial"/>
      <color rgb="FF1F4E78"/>
      <sz val="10"/>
    </font>
    <font>
      <name val="Aptos"/>
      <b val="1"/>
      <color rgb="FFFFFFFF"/>
      <sz val="16"/>
    </font>
    <font>
      <name val="Aptos"/>
      <b val="1"/>
      <sz val="10"/>
    </font>
    <font>
      <name val="Aptos"/>
      <sz val="10"/>
    </font>
    <font>
      <name val="Aptos"/>
      <b val="1"/>
      <color rgb="FFFFFFFF"/>
      <sz val="10"/>
    </font>
    <font>
      <name val="Aptos"/>
      <b val="1"/>
      <color rgb="FF000000"/>
      <sz val="10"/>
    </font>
    <font>
      <name val="Arial"/>
      <color rgb="FF000000"/>
      <sz val="10"/>
    </font>
    <font>
      <name val="Aptos"/>
      <b val="1"/>
      <color rgb="FFFFFFFF"/>
      <sz val="14"/>
    </font>
    <font>
      <name val="Aptos"/>
      <color rgb="FF000000"/>
      <sz val="10"/>
    </font>
    <font>
      <color rgb="00375623"/>
    </font>
    <font>
      <b val="1"/>
    </font>
    <font>
      <b val="1"/>
      <color rgb="00FFFFFF"/>
      <sz val="11"/>
    </font>
    <font>
      <b val="1"/>
      <color rgb="00FFFFFF"/>
    </font>
  </fonts>
  <fills count="33">
    <fill>
      <patternFill/>
    </fill>
    <fill>
      <patternFill patternType="gray125"/>
    </fill>
    <fill>
      <patternFill patternType="solid">
        <fgColor indexed="22"/>
        <bgColor indexed="64"/>
      </patternFill>
    </fill>
    <fill>
      <patternFill patternType="solid">
        <fgColor indexed="41"/>
        <bgColor indexed="64"/>
      </patternFill>
    </fill>
    <fill>
      <patternFill patternType="solid">
        <fgColor indexed="23"/>
        <bgColor indexed="64"/>
      </patternFill>
    </fill>
    <fill>
      <patternFill patternType="solid">
        <fgColor theme="1" tint="0.499984740745262"/>
        <bgColor indexed="64"/>
      </patternFill>
    </fill>
    <fill>
      <patternFill patternType="solid">
        <fgColor rgb="FF7030A0"/>
        <bgColor indexed="64"/>
      </patternFill>
    </fill>
    <fill>
      <patternFill patternType="solid">
        <fgColor rgb="FFFF6B6B"/>
        <bgColor indexed="64"/>
      </patternFill>
    </fill>
    <fill>
      <patternFill patternType="solid">
        <fgColor rgb="FF4ECDC4"/>
        <bgColor indexed="64"/>
      </patternFill>
    </fill>
    <fill>
      <patternFill patternType="solid">
        <fgColor rgb="FFFFE66D"/>
        <bgColor indexed="64"/>
      </patternFill>
    </fill>
    <fill>
      <patternFill patternType="solid">
        <fgColor rgb="FFDDDDDD"/>
        <bgColor indexed="64"/>
      </patternFill>
    </fill>
    <fill>
      <patternFill patternType="solid">
        <fgColor rgb="FFEEEEEE"/>
        <bgColor indexed="64"/>
      </patternFill>
    </fill>
    <fill>
      <patternFill patternType="solid">
        <fgColor rgb="FF90EE90"/>
        <bgColor indexed="64"/>
      </patternFill>
    </fill>
    <fill>
      <patternFill patternType="solid">
        <fgColor rgb="FF4472C4"/>
        <bgColor indexed="64"/>
      </patternFill>
    </fill>
    <fill>
      <patternFill patternType="solid">
        <fgColor rgb="FF70AD47"/>
        <bgColor indexed="64"/>
      </patternFill>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5B9BD5"/>
        <bgColor indexed="64"/>
      </patternFill>
    </fill>
    <fill>
      <patternFill patternType="solid">
        <fgColor rgb="FFE2F0D9"/>
        <bgColor indexed="64"/>
      </patternFill>
    </fill>
    <fill>
      <patternFill patternType="solid">
        <fgColor rgb="FFEAF2F8"/>
        <bgColor indexed="64"/>
      </patternFill>
    </fill>
    <fill>
      <patternFill patternType="solid">
        <fgColor rgb="FF1F4E79"/>
        <bgColor indexed="64"/>
      </patternFill>
    </fill>
    <fill>
      <patternFill patternType="solid">
        <fgColor rgb="FF305496"/>
        <bgColor indexed="64"/>
      </patternFill>
    </fill>
    <fill>
      <patternFill patternType="solid">
        <fgColor rgb="FFBDD7EE"/>
        <bgColor indexed="64"/>
      </patternFill>
    </fill>
    <fill>
      <patternFill patternType="solid">
        <fgColor rgb="FFF4B183"/>
        <bgColor indexed="64"/>
      </patternFill>
    </fill>
    <fill>
      <patternFill patternType="solid">
        <fgColor rgb="FFEADCF8"/>
        <bgColor indexed="64"/>
      </patternFill>
    </fill>
    <fill>
      <patternFill patternType="solid">
        <fgColor rgb="FFC00000"/>
        <bgColor indexed="64"/>
      </patternFill>
    </fill>
    <fill>
      <patternFill patternType="solid">
        <fgColor rgb="FFFCE4D6"/>
        <bgColor indexed="64"/>
      </patternFill>
    </fill>
    <fill>
      <patternFill patternType="solid">
        <fgColor rgb="00C6EFCE"/>
      </patternFill>
    </fill>
    <fill>
      <patternFill patternType="solid">
        <fgColor rgb="002C3E50"/>
      </patternFill>
    </fill>
    <fill>
      <patternFill patternType="solid">
        <fgColor rgb="00667EEA"/>
      </patternFill>
    </fill>
    <fill>
      <patternFill patternType="solid">
        <fgColor rgb="00BDC3C7"/>
      </patternFill>
    </fill>
    <fill>
      <patternFill patternType="solid">
        <fgColor rgb="00F0F4FF"/>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3" fillId="0" borderId="0" applyAlignment="1" applyProtection="1">
      <alignment vertical="top"/>
      <protection locked="0" hidden="0"/>
    </xf>
  </cellStyleXfs>
  <cellXfs count="207">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xf>
    <xf numFmtId="0" fontId="1"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applyProtection="1" pivotButton="0" quotePrefix="0" xfId="0">
      <alignment horizontal="center" vertical="top"/>
      <protection locked="1" hidden="1"/>
    </xf>
    <xf numFmtId="0" fontId="0" fillId="0" borderId="0" applyAlignment="1" applyProtection="1" pivotButton="0" quotePrefix="0" xfId="0">
      <alignment vertical="top"/>
      <protection locked="0" hidden="0"/>
    </xf>
    <xf numFmtId="0" fontId="1" fillId="0" borderId="1" applyAlignment="1" pivotButton="0" quotePrefix="0" xfId="0">
      <alignment horizontal="center" vertical="top"/>
    </xf>
    <xf numFmtId="164" fontId="1" fillId="0" borderId="1" applyAlignment="1" pivotButton="0" quotePrefix="0" xfId="0">
      <alignment horizontal="center" vertical="top"/>
    </xf>
    <xf numFmtId="0" fontId="1" fillId="2" borderId="1" applyAlignment="1" pivotButton="0" quotePrefix="0" xfId="0">
      <alignment horizontal="center" vertical="top" wrapText="1"/>
    </xf>
    <xf numFmtId="0" fontId="1" fillId="2" borderId="1" applyAlignment="1" pivotButton="0" quotePrefix="0" xfId="0">
      <alignment vertical="top" wrapText="1"/>
    </xf>
    <xf numFmtId="0" fontId="0" fillId="0" borderId="0" applyAlignment="1" pivotButton="0" quotePrefix="0" xfId="0">
      <alignment horizontal="center" wrapText="1"/>
    </xf>
    <xf numFmtId="0" fontId="5"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horizontal="center" vertical="top" wrapText="1"/>
    </xf>
    <xf numFmtId="0" fontId="1" fillId="2" borderId="2" applyAlignment="1" pivotButton="0" quotePrefix="0" xfId="0">
      <alignment horizontal="center" vertical="top" wrapText="1"/>
    </xf>
    <xf numFmtId="0" fontId="1" fillId="2" borderId="3" applyAlignment="1" pivotButton="0" quotePrefix="0" xfId="0">
      <alignment vertical="top" wrapText="1"/>
    </xf>
    <xf numFmtId="0" fontId="1" fillId="2" borderId="3" applyAlignment="1" pivotButton="0" quotePrefix="0" xfId="0">
      <alignment horizontal="center" vertical="top" wrapText="1"/>
    </xf>
    <xf numFmtId="0" fontId="1" fillId="2" borderId="4" applyAlignment="1" pivotButton="0" quotePrefix="0" xfId="0">
      <alignment horizontal="center" vertical="top" wrapText="1"/>
    </xf>
    <xf numFmtId="165" fontId="1" fillId="2" borderId="3" applyAlignment="1" pivotButton="0" quotePrefix="0" xfId="0">
      <alignment horizontal="center" vertical="top" wrapText="1"/>
    </xf>
    <xf numFmtId="0" fontId="0" fillId="3" borderId="1" applyAlignment="1" applyProtection="1" pivotButton="0" quotePrefix="0" xfId="0">
      <alignment horizontal="center" vertical="top"/>
      <protection locked="0" hidden="0"/>
    </xf>
    <xf numFmtId="14" fontId="0" fillId="3" borderId="1" applyAlignment="1" applyProtection="1" pivotButton="0" quotePrefix="0" xfId="0">
      <alignment horizontal="center" vertical="top"/>
      <protection locked="0" hidden="0"/>
    </xf>
    <xf numFmtId="165" fontId="1" fillId="2" borderId="7" applyAlignment="1" pivotButton="0" quotePrefix="0" xfId="0">
      <alignment horizontal="center" vertical="top" wrapText="1"/>
    </xf>
    <xf numFmtId="0" fontId="5" fillId="3" borderId="9" applyAlignment="1" applyProtection="1" pivotButton="0" quotePrefix="0" xfId="0">
      <alignment horizontal="center" vertical="top"/>
      <protection locked="0" hidden="0"/>
    </xf>
    <xf numFmtId="0" fontId="5" fillId="3" borderId="1" applyAlignment="1" applyProtection="1" pivotButton="0" quotePrefix="0" xfId="0">
      <alignment horizontal="center" vertical="top"/>
      <protection locked="0" hidden="0"/>
    </xf>
    <xf numFmtId="0" fontId="5" fillId="3" borderId="1" applyAlignment="1" applyProtection="1" pivotButton="0" quotePrefix="0" xfId="0">
      <alignment vertical="top" wrapText="1"/>
      <protection locked="0" hidden="0"/>
    </xf>
    <xf numFmtId="0" fontId="5" fillId="0" borderId="0" applyAlignment="1" applyProtection="1" pivotButton="0" quotePrefix="0" xfId="0">
      <alignment vertical="top"/>
      <protection locked="0" hidden="0"/>
    </xf>
    <xf numFmtId="0" fontId="1" fillId="2" borderId="1" applyAlignment="1" pivotButton="0" quotePrefix="0" xfId="0">
      <alignment horizontal="center"/>
    </xf>
    <xf numFmtId="0" fontId="13" fillId="0" borderId="0" applyAlignment="1" pivotButton="0" quotePrefix="0" xfId="0">
      <alignment horizontal="center" wrapText="1"/>
    </xf>
    <xf numFmtId="0" fontId="14" fillId="0" borderId="0" applyAlignment="1" pivotButton="0" quotePrefix="0" xfId="0">
      <alignment horizontal="center" vertical="top" wrapText="1"/>
    </xf>
    <xf numFmtId="0" fontId="13" fillId="0" borderId="0" applyAlignment="1" pivotButton="0" quotePrefix="0" xfId="0">
      <alignment wrapText="1"/>
    </xf>
    <xf numFmtId="0" fontId="14" fillId="0" borderId="0" applyAlignment="1" pivotButton="0" quotePrefix="0" xfId="0">
      <alignment wrapText="1"/>
    </xf>
    <xf numFmtId="0" fontId="15" fillId="0" borderId="0" applyAlignment="1" pivotButton="0" quotePrefix="0" xfId="1">
      <alignment wrapText="1"/>
    </xf>
    <xf numFmtId="0" fontId="13" fillId="0" borderId="0" applyAlignment="1" pivotButton="0" quotePrefix="0" xfId="0">
      <alignment horizontal="center" vertical="top" wrapText="1"/>
    </xf>
    <xf numFmtId="0" fontId="16" fillId="0" borderId="0" applyAlignment="1" pivotButton="0" quotePrefix="0" xfId="0">
      <alignment wrapText="1"/>
    </xf>
    <xf numFmtId="0" fontId="13" fillId="3" borderId="0" applyAlignment="1" pivotButton="0" quotePrefix="0" xfId="0">
      <alignment wrapText="1"/>
    </xf>
    <xf numFmtId="0" fontId="17" fillId="0" borderId="0" pivotButton="0" quotePrefix="0" xfId="0"/>
    <xf numFmtId="0" fontId="9" fillId="0" borderId="0" pivotButton="0" quotePrefix="0" xfId="0"/>
    <xf numFmtId="0" fontId="9" fillId="0" borderId="0" applyAlignment="1" pivotButton="0" quotePrefix="0" xfId="0">
      <alignment horizontal="center"/>
    </xf>
    <xf numFmtId="0" fontId="12" fillId="0" borderId="0" applyAlignment="1" pivotButton="0" quotePrefix="0" xfId="0">
      <alignment vertical="center"/>
    </xf>
    <xf numFmtId="0" fontId="8" fillId="3" borderId="1" applyAlignment="1" applyProtection="1" pivotButton="0" quotePrefix="0" xfId="0">
      <alignment horizontal="center" vertical="top"/>
      <protection locked="0" hidden="0"/>
    </xf>
    <xf numFmtId="0" fontId="12" fillId="5" borderId="14" applyAlignment="1" pivotButton="0" quotePrefix="0" xfId="0">
      <alignment horizontal="center" vertical="center"/>
    </xf>
    <xf numFmtId="0" fontId="12" fillId="5" borderId="13" applyAlignment="1" pivotButton="0" quotePrefix="0" xfId="0">
      <alignment horizontal="center" vertical="center"/>
    </xf>
    <xf numFmtId="0" fontId="10" fillId="2" borderId="1" applyAlignment="1" pivotButton="0" quotePrefix="0" xfId="0">
      <alignment horizontal="center" vertical="center"/>
    </xf>
    <xf numFmtId="0" fontId="11" fillId="3" borderId="11" applyAlignment="1" pivotButton="0" quotePrefix="0" xfId="0">
      <alignment horizontal="center" vertical="center"/>
    </xf>
    <xf numFmtId="0" fontId="1" fillId="2" borderId="11" applyAlignment="1" pivotButton="0" quotePrefix="0" xfId="0">
      <alignment horizontal="center"/>
    </xf>
    <xf numFmtId="0" fontId="1" fillId="2" borderId="16" applyAlignment="1" pivotButton="0" quotePrefix="0" xfId="0">
      <alignment vertical="top" wrapText="1"/>
    </xf>
    <xf numFmtId="0" fontId="5" fillId="3" borderId="11" applyAlignment="1" applyProtection="1" pivotButton="0" quotePrefix="0" xfId="0">
      <alignment vertical="top" wrapText="1"/>
      <protection locked="0" hidden="0"/>
    </xf>
    <xf numFmtId="0" fontId="1" fillId="2" borderId="5" applyAlignment="1" pivotButton="0" quotePrefix="0" xfId="0">
      <alignment vertical="top" wrapText="1"/>
    </xf>
    <xf numFmtId="0" fontId="1" fillId="2" borderId="13" applyAlignment="1" pivotButton="0" quotePrefix="0" xfId="0">
      <alignment vertical="top" wrapText="1"/>
    </xf>
    <xf numFmtId="0" fontId="1" fillId="2" borderId="17" applyAlignment="1" pivotButton="0" quotePrefix="0" xfId="0">
      <alignment horizontal="center" vertical="top"/>
    </xf>
    <xf numFmtId="0" fontId="1" fillId="2" borderId="18" applyAlignment="1" pivotButton="0" quotePrefix="0" xfId="0">
      <alignment horizontal="center" vertical="top"/>
    </xf>
    <xf numFmtId="0" fontId="5" fillId="3" borderId="22" applyAlignment="1" applyProtection="1" pivotButton="0" quotePrefix="0" xfId="0">
      <alignment horizontal="center" vertical="top"/>
      <protection locked="0" hidden="0"/>
    </xf>
    <xf numFmtId="0" fontId="8" fillId="3" borderId="6" applyAlignment="1" applyProtection="1" pivotButton="0" quotePrefix="0" xfId="0">
      <alignment horizontal="center" vertical="top"/>
      <protection locked="0" hidden="0"/>
    </xf>
    <xf numFmtId="0" fontId="11" fillId="0" borderId="11" applyAlignment="1" pivotButton="0" quotePrefix="0" xfId="0">
      <alignment horizontal="center" vertical="center"/>
    </xf>
    <xf numFmtId="0" fontId="11" fillId="3" borderId="11" applyAlignment="1" pivotButton="0" quotePrefix="0" xfId="0">
      <alignment horizontal="center" vertical="center" wrapText="1"/>
    </xf>
    <xf numFmtId="0" fontId="19" fillId="3" borderId="15" applyAlignment="1" pivotButton="0" quotePrefix="0" xfId="0">
      <alignment horizontal="center" vertical="center"/>
    </xf>
    <xf numFmtId="0" fontId="19" fillId="3" borderId="15" applyAlignment="1" pivotButton="0" quotePrefix="0" xfId="0">
      <alignment horizontal="center" vertical="center" wrapText="1"/>
    </xf>
    <xf numFmtId="0" fontId="5" fillId="3" borderId="27" applyAlignment="1" applyProtection="1" pivotButton="0" quotePrefix="0" xfId="0">
      <alignment horizontal="center" vertical="top"/>
      <protection locked="0" hidden="0"/>
    </xf>
    <xf numFmtId="0" fontId="8" fillId="3" borderId="5" applyAlignment="1" applyProtection="1" pivotButton="0" quotePrefix="0" xfId="0">
      <alignment horizontal="center" vertical="top"/>
      <protection locked="0" hidden="0"/>
    </xf>
    <xf numFmtId="0" fontId="5" fillId="3" borderId="5" applyAlignment="1" applyProtection="1" pivotButton="0" quotePrefix="0" xfId="0">
      <alignment vertical="top" wrapText="1"/>
      <protection locked="0" hidden="0"/>
    </xf>
    <xf numFmtId="0" fontId="5" fillId="3" borderId="15" applyAlignment="1" applyProtection="1" pivotButton="0" quotePrefix="0" xfId="0">
      <alignment vertical="top" wrapText="1"/>
      <protection locked="0" hidden="0"/>
    </xf>
    <xf numFmtId="0" fontId="5" fillId="3" borderId="6" applyAlignment="1" applyProtection="1" pivotButton="0" quotePrefix="0" xfId="0">
      <alignment vertical="top" wrapText="1"/>
      <protection locked="0" hidden="0"/>
    </xf>
    <xf numFmtId="0" fontId="5" fillId="3" borderId="29" applyAlignment="1" applyProtection="1" pivotButton="0" quotePrefix="0" xfId="0">
      <alignment horizontal="center" vertical="top"/>
      <protection locked="0" hidden="0"/>
    </xf>
    <xf numFmtId="0" fontId="5" fillId="3" borderId="30" applyAlignment="1" applyProtection="1" pivotButton="0" quotePrefix="0" xfId="0">
      <alignment vertical="top" wrapText="1"/>
      <protection locked="0" hidden="0"/>
    </xf>
    <xf numFmtId="0" fontId="5" fillId="3" borderId="5" applyAlignment="1" applyProtection="1" pivotButton="0" quotePrefix="0" xfId="0">
      <alignment horizontal="center" vertical="top"/>
      <protection locked="0" hidden="0"/>
    </xf>
    <xf numFmtId="0" fontId="5" fillId="3" borderId="30" applyAlignment="1" applyProtection="1" pivotButton="0" quotePrefix="0" xfId="0">
      <alignment horizontal="center" vertical="top"/>
      <protection locked="0" hidden="0"/>
    </xf>
    <xf numFmtId="0" fontId="18" fillId="6" borderId="13" applyAlignment="1" pivotButton="0" quotePrefix="0" xfId="0">
      <alignment horizontal="center" vertical="center"/>
    </xf>
    <xf numFmtId="0" fontId="25" fillId="0" borderId="0" pivotButton="0" quotePrefix="0" xfId="0"/>
    <xf numFmtId="0" fontId="25" fillId="10" borderId="0" pivotButton="0" quotePrefix="0" xfId="0"/>
    <xf numFmtId="0" fontId="25" fillId="11" borderId="0" pivotButton="0" quotePrefix="0" xfId="0"/>
    <xf numFmtId="0" fontId="25" fillId="12" borderId="0" pivotButton="0" quotePrefix="0" xfId="0"/>
    <xf numFmtId="0" fontId="27" fillId="0" borderId="0" pivotButton="0" quotePrefix="0" xfId="0"/>
    <xf numFmtId="0" fontId="28" fillId="0" borderId="0" pivotButton="0" quotePrefix="0" xfId="0"/>
    <xf numFmtId="0" fontId="26" fillId="13" borderId="0" pivotButton="0" quotePrefix="0" xfId="0"/>
    <xf numFmtId="0" fontId="29" fillId="14" borderId="0" pivotButton="0" quotePrefix="0" xfId="0"/>
    <xf numFmtId="0" fontId="26" fillId="15" borderId="0" pivotButton="0" quotePrefix="0" xfId="0"/>
    <xf numFmtId="0" fontId="30" fillId="15" borderId="0" pivotButton="0" quotePrefix="0" xfId="0"/>
    <xf numFmtId="0" fontId="25" fillId="0" borderId="0" applyAlignment="1" pivotButton="0" quotePrefix="0" xfId="0">
      <alignment wrapText="1"/>
    </xf>
    <xf numFmtId="0" fontId="31" fillId="15"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applyProtection="1" pivotButton="0" quotePrefix="0" xfId="0">
      <alignment horizontal="center" vertical="top" wrapText="1"/>
      <protection locked="1" hidden="1"/>
    </xf>
    <xf numFmtId="0" fontId="26" fillId="18" borderId="0" applyAlignment="1" pivotButton="0" quotePrefix="0" xfId="0">
      <alignment horizontal="center"/>
    </xf>
    <xf numFmtId="0" fontId="0" fillId="0" borderId="1" pivotButton="0" quotePrefix="0" xfId="0"/>
    <xf numFmtId="1" fontId="0" fillId="0" borderId="1" pivotButton="0" quotePrefix="0" xfId="0"/>
    <xf numFmtId="0" fontId="25" fillId="0" borderId="1" pivotButton="0" quotePrefix="0" xfId="0"/>
    <xf numFmtId="0" fontId="0" fillId="0" borderId="1" applyAlignment="1" pivotButton="0" quotePrefix="0" xfId="0">
      <alignment wrapText="1"/>
    </xf>
    <xf numFmtId="0" fontId="32" fillId="19" borderId="1" applyAlignment="1" pivotButton="0" quotePrefix="0" xfId="0">
      <alignment horizontal="center"/>
    </xf>
    <xf numFmtId="0" fontId="33" fillId="17" borderId="1" applyAlignment="1" pivotButton="0" quotePrefix="0" xfId="0">
      <alignment horizontal="center"/>
    </xf>
    <xf numFmtId="0" fontId="0" fillId="16" borderId="1" applyAlignment="1" pivotButton="0" quotePrefix="0" xfId="0">
      <alignment horizontal="center"/>
    </xf>
    <xf numFmtId="0" fontId="34" fillId="16" borderId="1" applyAlignment="1" pivotButton="0" quotePrefix="0" xfId="0">
      <alignment horizontal="center"/>
    </xf>
    <xf numFmtId="0" fontId="25" fillId="16" borderId="1" pivotButton="0" quotePrefix="0" xfId="0"/>
    <xf numFmtId="0" fontId="0" fillId="16" borderId="1" pivotButton="0" quotePrefix="0" xfId="0"/>
    <xf numFmtId="0" fontId="0" fillId="16" borderId="1" applyAlignment="1" pivotButton="0" quotePrefix="0" xfId="0">
      <alignment wrapText="1"/>
    </xf>
    <xf numFmtId="0" fontId="0" fillId="20" borderId="10" applyAlignment="1" pivotButton="0" quotePrefix="0" xfId="0">
      <alignment vertical="top"/>
    </xf>
    <xf numFmtId="0" fontId="0" fillId="20" borderId="1" applyAlignment="1" pivotButton="0" quotePrefix="0" xfId="0">
      <alignment vertical="top"/>
    </xf>
    <xf numFmtId="0" fontId="0" fillId="20" borderId="1" applyAlignment="1" pivotButton="0" quotePrefix="0" xfId="0">
      <alignment vertical="top" wrapText="1"/>
    </xf>
    <xf numFmtId="0" fontId="1" fillId="2" borderId="18" applyAlignment="1" pivotButton="0" quotePrefix="0" xfId="0">
      <alignment vertical="top" wrapText="1"/>
    </xf>
    <xf numFmtId="0" fontId="1" fillId="0" borderId="13" applyAlignment="1" pivotButton="0" quotePrefix="0" xfId="0">
      <alignment horizontal="center" vertical="top"/>
    </xf>
    <xf numFmtId="0" fontId="25" fillId="0" borderId="0" applyAlignment="1" pivotButton="0" quotePrefix="0" xfId="0">
      <alignment vertical="top"/>
    </xf>
    <xf numFmtId="0" fontId="37" fillId="0" borderId="0" applyAlignment="1" pivotButton="0" quotePrefix="0" xfId="0">
      <alignment vertical="top" wrapText="1"/>
    </xf>
    <xf numFmtId="0" fontId="39" fillId="23" borderId="1" applyAlignment="1" pivotButton="0" quotePrefix="0" xfId="0">
      <alignment vertical="top" wrapText="1"/>
    </xf>
    <xf numFmtId="0" fontId="37" fillId="0" borderId="1" applyAlignment="1" pivotButton="0" quotePrefix="0" xfId="0">
      <alignment vertical="top" wrapText="1"/>
    </xf>
    <xf numFmtId="16" fontId="37" fillId="0" borderId="1" applyAlignment="1" pivotButton="0" quotePrefix="0" xfId="0">
      <alignment vertical="top" wrapText="1"/>
    </xf>
    <xf numFmtId="0" fontId="36" fillId="24" borderId="1" applyAlignment="1" pivotButton="0" quotePrefix="0" xfId="0">
      <alignment vertical="top" wrapText="1"/>
    </xf>
    <xf numFmtId="16" fontId="36" fillId="24" borderId="1" applyAlignment="1" pivotButton="0" quotePrefix="0" xfId="0">
      <alignment vertical="top" wrapText="1"/>
    </xf>
    <xf numFmtId="0" fontId="40" fillId="25" borderId="0" applyAlignment="1" pivotButton="0" quotePrefix="0" xfId="0">
      <alignment wrapText="1"/>
    </xf>
    <xf numFmtId="0" fontId="1" fillId="3" borderId="8" applyAlignment="1" applyProtection="1" pivotButton="0" quotePrefix="0" xfId="0">
      <alignment horizontal="center" vertical="top" wrapText="1"/>
      <protection locked="0" hidden="0"/>
    </xf>
    <xf numFmtId="0" fontId="5" fillId="3" borderId="10" applyAlignment="1" applyProtection="1" pivotButton="0" quotePrefix="0" xfId="0">
      <alignment horizontal="center" vertical="top" wrapText="1"/>
      <protection locked="0" hidden="0"/>
    </xf>
    <xf numFmtId="0" fontId="5" fillId="3" borderId="1" applyAlignment="1" applyProtection="1" pivotButton="0" quotePrefix="0" xfId="0">
      <alignment horizontal="center" vertical="top" wrapText="1"/>
      <protection locked="0" hidden="0"/>
    </xf>
    <xf numFmtId="0" fontId="5" fillId="0" borderId="0" applyAlignment="1" applyProtection="1" pivotButton="0" quotePrefix="0" xfId="0">
      <alignment vertical="top" wrapText="1"/>
      <protection locked="0" hidden="0"/>
    </xf>
    <xf numFmtId="0" fontId="5" fillId="3" borderId="25" applyAlignment="1" applyProtection="1" pivotButton="0" quotePrefix="0" xfId="0">
      <alignment horizontal="center" vertical="top" wrapText="1"/>
      <protection locked="0" hidden="0"/>
    </xf>
    <xf numFmtId="0" fontId="0" fillId="3" borderId="5" applyAlignment="1" applyProtection="1" pivotButton="0" quotePrefix="0" xfId="0">
      <alignment horizontal="center" vertical="top" wrapText="1"/>
      <protection locked="0" hidden="0"/>
    </xf>
    <xf numFmtId="0" fontId="0" fillId="3" borderId="1" applyAlignment="1" applyProtection="1" pivotButton="0" quotePrefix="0" xfId="0">
      <alignment horizontal="center" vertical="top" wrapText="1"/>
      <protection locked="0" hidden="0"/>
    </xf>
    <xf numFmtId="0" fontId="0" fillId="0" borderId="0" applyAlignment="1" applyProtection="1" pivotButton="0" quotePrefix="0" xfId="0">
      <alignment vertical="top" wrapText="1"/>
      <protection locked="0" hidden="0"/>
    </xf>
    <xf numFmtId="0" fontId="1" fillId="3" borderId="11" applyAlignment="1" applyProtection="1" pivotButton="0" quotePrefix="0" xfId="0">
      <alignment horizontal="center" vertical="top" wrapText="1"/>
      <protection locked="0" hidden="0"/>
    </xf>
    <xf numFmtId="0" fontId="5" fillId="3" borderId="9" applyAlignment="1" applyProtection="1" pivotButton="0" quotePrefix="0" xfId="0">
      <alignment horizontal="center" vertical="top" wrapText="1"/>
      <protection locked="0" hidden="0"/>
    </xf>
    <xf numFmtId="0" fontId="0" fillId="3" borderId="11" applyAlignment="1" applyProtection="1" pivotButton="0" quotePrefix="0" xfId="0">
      <alignment horizontal="center" vertical="top" wrapText="1"/>
      <protection locked="0" hidden="0"/>
    </xf>
    <xf numFmtId="0" fontId="0" fillId="3" borderId="10" applyAlignment="1" applyProtection="1" pivotButton="0" quotePrefix="0" xfId="0">
      <alignment horizontal="center" vertical="top" wrapText="1"/>
      <protection locked="0" hidden="0"/>
    </xf>
    <xf numFmtId="0" fontId="0" fillId="3" borderId="12" applyAlignment="1" applyProtection="1" pivotButton="0" quotePrefix="0" xfId="0">
      <alignment horizontal="center" vertical="top" wrapText="1"/>
      <protection locked="0" hidden="0"/>
    </xf>
    <xf numFmtId="0" fontId="1" fillId="3" borderId="26" applyAlignment="1" applyProtection="1" pivotButton="0" quotePrefix="0" xfId="0">
      <alignment horizontal="center" vertical="top" wrapText="1"/>
      <protection locked="0" hidden="0"/>
    </xf>
    <xf numFmtId="0" fontId="0" fillId="3" borderId="32" applyAlignment="1" applyProtection="1" pivotButton="0" quotePrefix="0" xfId="0">
      <alignment horizontal="center" vertical="top" wrapText="1"/>
      <protection locked="0" hidden="0"/>
    </xf>
    <xf numFmtId="0" fontId="0" fillId="3" borderId="0" applyAlignment="1" applyProtection="1" pivotButton="0" quotePrefix="0" xfId="0">
      <alignment horizontal="center" vertical="top" wrapText="1"/>
      <protection locked="0" hidden="0"/>
    </xf>
    <xf numFmtId="0" fontId="0" fillId="3" borderId="24" applyAlignment="1" applyProtection="1" pivotButton="0" quotePrefix="0" xfId="0">
      <alignment horizontal="center" vertical="top" wrapText="1"/>
      <protection locked="0" hidden="0"/>
    </xf>
    <xf numFmtId="0" fontId="0" fillId="3" borderId="13" applyAlignment="1" applyProtection="1" pivotButton="0" quotePrefix="0" xfId="0">
      <alignment horizontal="center" vertical="top" wrapText="1"/>
      <protection locked="0" hidden="0"/>
    </xf>
    <xf numFmtId="0" fontId="0" fillId="3" borderId="15" applyAlignment="1" applyProtection="1" pivotButton="0" quotePrefix="0" xfId="0">
      <alignment horizontal="center" vertical="top" wrapText="1"/>
      <protection locked="0" hidden="0"/>
    </xf>
    <xf numFmtId="0" fontId="0" fillId="3" borderId="14" applyAlignment="1" applyProtection="1" pivotButton="0" quotePrefix="0" xfId="0">
      <alignment horizontal="center" vertical="top" wrapText="1"/>
      <protection locked="0" hidden="0"/>
    </xf>
    <xf numFmtId="0" fontId="5" fillId="3" borderId="13" applyAlignment="1" applyProtection="1" pivotButton="0" quotePrefix="0" xfId="0">
      <alignment horizontal="center" vertical="top" wrapText="1"/>
      <protection locked="0" hidden="0"/>
    </xf>
    <xf numFmtId="0" fontId="5" fillId="3" borderId="34" applyAlignment="1" applyProtection="1" pivotButton="0" quotePrefix="0" xfId="0">
      <alignment horizontal="center" vertical="top" wrapText="1"/>
      <protection locked="0" hidden="0"/>
    </xf>
    <xf numFmtId="0" fontId="0" fillId="3" borderId="35" applyAlignment="1" applyProtection="1" pivotButton="0" quotePrefix="0" xfId="0">
      <alignment horizontal="center" vertical="top" wrapText="1"/>
      <protection locked="0" hidden="0"/>
    </xf>
    <xf numFmtId="0" fontId="5" fillId="3" borderId="15" applyAlignment="1" applyProtection="1" pivotButton="0" quotePrefix="0" xfId="0">
      <alignment horizontal="center" vertical="top" wrapText="1"/>
      <protection locked="0" hidden="0"/>
    </xf>
    <xf numFmtId="0" fontId="1" fillId="3" borderId="31" applyAlignment="1" applyProtection="1" pivotButton="0" quotePrefix="0" xfId="0">
      <alignment horizontal="center" vertical="top" wrapText="1"/>
      <protection locked="0" hidden="0"/>
    </xf>
    <xf numFmtId="0" fontId="5" fillId="3" borderId="22" applyAlignment="1" applyProtection="1" pivotButton="0" quotePrefix="0" xfId="0">
      <alignment horizontal="center" vertical="top" wrapText="1"/>
      <protection locked="0" hidden="0"/>
    </xf>
    <xf numFmtId="0" fontId="0" fillId="3" borderId="30" applyAlignment="1" applyProtection="1" pivotButton="0" quotePrefix="0" xfId="0">
      <alignment horizontal="center" vertical="top" wrapText="1"/>
      <protection locked="0" hidden="0"/>
    </xf>
    <xf numFmtId="0" fontId="0" fillId="3" borderId="6" applyAlignment="1" applyProtection="1" pivotButton="0" quotePrefix="0" xfId="0">
      <alignment horizontal="center" vertical="top" wrapText="1"/>
      <protection locked="0" hidden="0"/>
    </xf>
    <xf numFmtId="0" fontId="0" fillId="3" borderId="36" applyAlignment="1" applyProtection="1" pivotButton="0" quotePrefix="0" xfId="0">
      <alignment horizontal="center" vertical="top" wrapText="1"/>
      <protection locked="0" hidden="0"/>
    </xf>
    <xf numFmtId="0" fontId="5" fillId="3" borderId="6" applyAlignment="1" applyProtection="1" pivotButton="0" quotePrefix="0" xfId="0">
      <alignment horizontal="center" vertical="top" wrapText="1"/>
      <protection locked="0" hidden="0"/>
    </xf>
    <xf numFmtId="0" fontId="1" fillId="3" borderId="28" applyAlignment="1" applyProtection="1" pivotButton="0" quotePrefix="0" xfId="0">
      <alignment horizontal="center" vertical="top" wrapText="1"/>
      <protection locked="0" hidden="0"/>
    </xf>
    <xf numFmtId="0" fontId="5" fillId="3" borderId="27" applyAlignment="1" applyProtection="1" pivotButton="0" quotePrefix="0" xfId="0">
      <alignment horizontal="center" vertical="top" wrapText="1"/>
      <protection locked="0" hidden="0"/>
    </xf>
    <xf numFmtId="0" fontId="5" fillId="3" borderId="5" applyAlignment="1" applyProtection="1" pivotButton="0" quotePrefix="0" xfId="0">
      <alignment horizontal="center" vertical="top" wrapText="1"/>
      <protection locked="0" hidden="0"/>
    </xf>
    <xf numFmtId="0" fontId="1" fillId="3" borderId="23" applyAlignment="1" applyProtection="1" pivotButton="0" quotePrefix="0" xfId="0">
      <alignment horizontal="center" vertical="top" wrapText="1"/>
      <protection locked="0" hidden="0"/>
    </xf>
    <xf numFmtId="0" fontId="0" fillId="3" borderId="33" applyAlignment="1" applyProtection="1" pivotButton="0" quotePrefix="0" xfId="0">
      <alignment horizontal="center" vertical="top" wrapText="1"/>
      <protection locked="0" hidden="0"/>
    </xf>
    <xf numFmtId="0" fontId="0" fillId="20" borderId="1" applyAlignment="1" pivotButton="0" quotePrefix="0" xfId="0">
      <alignment horizontal="center" vertical="top" wrapText="1"/>
    </xf>
    <xf numFmtId="0" fontId="0" fillId="20" borderId="11" applyAlignment="1" pivotButton="0" quotePrefix="0" xfId="0">
      <alignment vertical="top" wrapText="1"/>
    </xf>
    <xf numFmtId="0" fontId="42" fillId="27" borderId="1" applyAlignment="1" pivotButton="0" quotePrefix="0" xfId="0">
      <alignment vertical="top" wrapText="1"/>
    </xf>
    <xf numFmtId="0" fontId="39" fillId="27" borderId="1" applyAlignment="1" pivotButton="0" quotePrefix="0" xfId="0">
      <alignment vertical="top" wrapText="1"/>
    </xf>
    <xf numFmtId="0" fontId="39" fillId="17" borderId="1" applyAlignment="1" pivotButton="0" quotePrefix="0" xfId="0">
      <alignment vertical="top" wrapText="1"/>
    </xf>
    <xf numFmtId="0" fontId="42" fillId="17" borderId="1" applyAlignment="1" pivotButton="0" quotePrefix="0" xfId="0">
      <alignment vertical="top" wrapText="1"/>
    </xf>
    <xf numFmtId="0" fontId="39" fillId="19" borderId="1" applyAlignment="1" pivotButton="0" quotePrefix="0" xfId="0">
      <alignment vertical="top" wrapText="1"/>
    </xf>
    <xf numFmtId="0" fontId="42" fillId="19" borderId="1" applyAlignment="1" pivotButton="0" quotePrefix="0" xfId="0">
      <alignment vertical="top" wrapText="1"/>
    </xf>
    <xf numFmtId="0" fontId="37" fillId="17" borderId="1" applyAlignment="1" pivotButton="0" quotePrefix="0" xfId="0">
      <alignment vertical="top" wrapText="1"/>
    </xf>
    <xf numFmtId="0" fontId="37" fillId="19" borderId="1" applyAlignment="1" pivotButton="0" quotePrefix="0" xfId="0">
      <alignment vertical="top" wrapText="1"/>
    </xf>
    <xf numFmtId="0" fontId="40" fillId="19" borderId="0" applyAlignment="1" pivotButton="0" quotePrefix="0" xfId="0">
      <alignment wrapText="1"/>
    </xf>
    <xf numFmtId="0" fontId="0" fillId="17" borderId="0" applyAlignment="1" pivotButton="0" quotePrefix="0" xfId="0">
      <alignment wrapText="1"/>
    </xf>
    <xf numFmtId="0" fontId="23" fillId="4" borderId="0" applyAlignment="1" pivotButton="0" quotePrefix="0" xfId="0">
      <alignment horizontal="center" vertical="center" wrapText="1"/>
    </xf>
    <xf numFmtId="0" fontId="6" fillId="3" borderId="11" applyAlignment="1" pivotButton="0" quotePrefix="0" xfId="0">
      <alignment horizontal="center"/>
    </xf>
    <xf numFmtId="0" fontId="6" fillId="3" borderId="12" applyAlignment="1" pivotButton="0" quotePrefix="0" xfId="0">
      <alignment horizontal="center"/>
    </xf>
    <xf numFmtId="0" fontId="6" fillId="3" borderId="10" applyAlignment="1" pivotButton="0" quotePrefix="0" xfId="0">
      <alignment horizontal="center"/>
    </xf>
    <xf numFmtId="0" fontId="1" fillId="2" borderId="19" applyAlignment="1" pivotButton="0" quotePrefix="0" xfId="0">
      <alignment horizontal="center" vertical="top"/>
    </xf>
    <xf numFmtId="0" fontId="1" fillId="2" borderId="20" applyAlignment="1" pivotButton="0" quotePrefix="0" xfId="0">
      <alignment horizontal="center" vertical="top"/>
    </xf>
    <xf numFmtId="0" fontId="1" fillId="2" borderId="21" applyAlignment="1" pivotButton="0" quotePrefix="0" xfId="0">
      <alignment horizontal="center" vertical="top"/>
    </xf>
    <xf numFmtId="0" fontId="1" fillId="0" borderId="18" applyAlignment="1" pivotButton="0" quotePrefix="0" xfId="0">
      <alignment horizontal="center" vertical="center"/>
    </xf>
    <xf numFmtId="0" fontId="1" fillId="0" borderId="13" applyAlignment="1" pivotButton="0" quotePrefix="0" xfId="0">
      <alignment horizontal="center" vertical="center"/>
    </xf>
    <xf numFmtId="0" fontId="20" fillId="4" borderId="0" applyAlignment="1" pivotButton="0" quotePrefix="0" xfId="0">
      <alignment horizontal="center" vertical="center" wrapText="1"/>
    </xf>
    <xf numFmtId="0" fontId="21" fillId="0" borderId="0" applyAlignment="1" pivotButton="0" quotePrefix="0" xfId="0">
      <alignment horizontal="center" wrapText="1"/>
    </xf>
    <xf numFmtId="0" fontId="22" fillId="4" borderId="0" applyAlignment="1" pivotButton="0" quotePrefix="0" xfId="0">
      <alignment horizontal="center" vertical="center" wrapText="1"/>
    </xf>
    <xf numFmtId="0" fontId="22" fillId="4" borderId="0" pivotButton="0" quotePrefix="0" xfId="0"/>
    <xf numFmtId="0" fontId="1" fillId="0" borderId="5" applyAlignment="1" pivotButton="0" quotePrefix="0" xfId="0">
      <alignment horizontal="center" vertical="center"/>
    </xf>
    <xf numFmtId="0" fontId="26" fillId="7" borderId="0" pivotButton="0" quotePrefix="0" xfId="0"/>
    <xf numFmtId="0" fontId="25" fillId="12" borderId="0" pivotButton="0" quotePrefix="0" xfId="0"/>
    <xf numFmtId="0" fontId="0" fillId="0" borderId="0" pivotButton="0" quotePrefix="0" xfId="0"/>
    <xf numFmtId="0" fontId="25" fillId="9" borderId="0" pivotButton="0" quotePrefix="0" xfId="0"/>
    <xf numFmtId="0" fontId="25" fillId="8" borderId="0" pivotButton="0" quotePrefix="0" xfId="0"/>
    <xf numFmtId="0" fontId="0" fillId="0" borderId="0" applyAlignment="1" pivotButton="0" quotePrefix="0" xfId="0">
      <alignment wrapText="1"/>
    </xf>
    <xf numFmtId="0" fontId="24" fillId="7" borderId="0" pivotButton="0" quotePrefix="0" xfId="0"/>
    <xf numFmtId="0" fontId="29" fillId="15" borderId="0" applyAlignment="1" pivotButton="0" quotePrefix="0" xfId="0">
      <alignment horizontal="center"/>
    </xf>
    <xf numFmtId="0" fontId="38" fillId="22" borderId="0" applyAlignment="1" pivotButton="0" quotePrefix="0" xfId="0">
      <alignment vertical="top" wrapText="1"/>
    </xf>
    <xf numFmtId="0" fontId="35" fillId="21" borderId="0" applyAlignment="1" pivotButton="0" quotePrefix="0" xfId="0">
      <alignment horizontal="center" vertical="top" wrapText="1"/>
    </xf>
    <xf numFmtId="0" fontId="36" fillId="16" borderId="0" applyAlignment="1" pivotButton="0" quotePrefix="0" xfId="0">
      <alignment vertical="top" wrapText="1"/>
    </xf>
    <xf numFmtId="0" fontId="37" fillId="0" borderId="0" applyAlignment="1" pivotButton="0" quotePrefix="0" xfId="0">
      <alignment vertical="top" wrapText="1"/>
    </xf>
    <xf numFmtId="0" fontId="26" fillId="19" borderId="0" applyAlignment="1" pivotButton="0" quotePrefix="0" xfId="0">
      <alignment wrapText="1"/>
    </xf>
    <xf numFmtId="0" fontId="26" fillId="6" borderId="0" applyAlignment="1" pivotButton="0" quotePrefix="0" xfId="0">
      <alignment wrapText="1"/>
    </xf>
    <xf numFmtId="0" fontId="41" fillId="26" borderId="0" applyAlignment="1" pivotButton="0" quotePrefix="0" xfId="0">
      <alignment vertical="top" wrapText="1"/>
    </xf>
    <xf numFmtId="0" fontId="39" fillId="27" borderId="1" applyAlignment="1" pivotButton="0" quotePrefix="0" xfId="0">
      <alignment vertical="top" wrapText="1"/>
    </xf>
    <xf numFmtId="0" fontId="42" fillId="27" borderId="1" applyAlignment="1" pivotButton="0" quotePrefix="0" xfId="0">
      <alignment vertical="top" wrapText="1"/>
    </xf>
    <xf numFmtId="0" fontId="6" fillId="3" borderId="1" applyAlignment="1" pivotButton="0" quotePrefix="0" xfId="0">
      <alignment horizontal="center"/>
    </xf>
    <xf numFmtId="0" fontId="0" fillId="0" borderId="12" pivotButton="0" quotePrefix="0" xfId="0"/>
    <xf numFmtId="0" fontId="0" fillId="0" borderId="10" pivotButton="0" quotePrefix="0" xfId="0"/>
    <xf numFmtId="0" fontId="1" fillId="2" borderId="37" applyAlignment="1" pivotButton="0" quotePrefix="0" xfId="0">
      <alignment horizontal="center" vertical="top"/>
    </xf>
    <xf numFmtId="0" fontId="0" fillId="0" borderId="20" pivotButton="0" quotePrefix="0" xfId="0"/>
    <xf numFmtId="0" fontId="0" fillId="0" borderId="21" pivotButton="0" quotePrefix="0" xfId="0"/>
    <xf numFmtId="165" fontId="1" fillId="2" borderId="7" applyAlignment="1" pivotButton="0" quotePrefix="0" xfId="0">
      <alignment horizontal="center" vertical="top" wrapText="1"/>
    </xf>
    <xf numFmtId="165" fontId="1" fillId="2" borderId="3" applyAlignment="1" pivotButton="0" quotePrefix="0" xfId="0">
      <alignment horizontal="center" vertical="top" wrapText="1"/>
    </xf>
    <xf numFmtId="0" fontId="44" fillId="15" borderId="0" applyAlignment="1" pivotButton="0" quotePrefix="0" xfId="0">
      <alignment horizontal="center" vertical="top" wrapText="1"/>
    </xf>
    <xf numFmtId="0" fontId="43" fillId="28" borderId="0" applyAlignment="1" applyProtection="1" pivotButton="0" quotePrefix="0" xfId="0">
      <alignment vertical="top" wrapText="1"/>
      <protection locked="0" hidden="0"/>
    </xf>
    <xf numFmtId="0" fontId="43" fillId="28" borderId="0" applyAlignment="1" pivotButton="0" quotePrefix="0" xfId="0">
      <alignment vertical="top" wrapText="1"/>
    </xf>
    <xf numFmtId="0" fontId="1" fillId="0" borderId="1" applyAlignment="1" pivotButton="0" quotePrefix="0" xfId="0">
      <alignment horizontal="center" vertical="center"/>
    </xf>
    <xf numFmtId="0" fontId="0" fillId="0" borderId="13" pivotButton="0" quotePrefix="0" xfId="0"/>
    <xf numFmtId="164" fontId="1" fillId="0" borderId="1" applyAlignment="1" pivotButton="0" quotePrefix="0" xfId="0">
      <alignment horizontal="center" vertical="top"/>
    </xf>
    <xf numFmtId="0" fontId="45" fillId="29" borderId="0" applyAlignment="1" pivotButton="0" quotePrefix="0" xfId="0">
      <alignment vertical="top" wrapText="1"/>
    </xf>
    <xf numFmtId="0" fontId="44" fillId="0" borderId="0" applyAlignment="1" pivotButton="0" quotePrefix="0" xfId="0">
      <alignment vertical="top" wrapText="1"/>
    </xf>
    <xf numFmtId="0" fontId="46" fillId="30" borderId="0" applyAlignment="1" pivotButton="0" quotePrefix="0" xfId="0">
      <alignment vertical="top" wrapText="1"/>
    </xf>
    <xf numFmtId="0" fontId="44" fillId="31" borderId="0" applyAlignment="1" pivotButton="0" quotePrefix="0" xfId="0">
      <alignment vertical="top" wrapText="1"/>
    </xf>
    <xf numFmtId="0" fontId="0" fillId="32" borderId="0" applyAlignment="1" pivotButton="0" quotePrefix="0" xfId="0">
      <alignment vertical="top" wrapText="1"/>
    </xf>
    <xf numFmtId="0" fontId="0" fillId="28" borderId="0" applyAlignment="1" pivotButton="0" quotePrefix="0" xfId="0">
      <alignment vertical="top" wrapText="1"/>
    </xf>
  </cellXfs>
  <cellStyles count="2">
    <cellStyle name="Normal" xfId="0" builtinId="0"/>
    <cellStyle name="Hyperlink" xfId="1" builtinId="8"/>
  </cellStyles>
  <dxfs count="15">
    <dxf>
      <font>
        <condense val="0"/>
        <color indexed="10"/>
        <extend val="0"/>
      </font>
    </dxf>
    <dxf>
      <font>
        <condense val="0"/>
        <color indexed="57"/>
        <extend val="0"/>
      </font>
    </dxf>
    <dxf>
      <font>
        <condense val="0"/>
        <color indexed="10"/>
        <extend val="0"/>
      </font>
    </dxf>
    <dxf>
      <font>
        <condense val="0"/>
        <color indexed="57"/>
        <extend val="0"/>
      </font>
    </dxf>
    <dxf>
      <font>
        <name val="Times New Roman"/>
        <i val="1"/>
        <sz val="12"/>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border>
        <left style="thin">
          <color indexed="64"/>
        </left>
        <right/>
        <top style="thin">
          <color indexed="64"/>
        </top>
        <bottom style="thin">
          <color indexed="64"/>
        </bottom>
        <vertical/>
        <horizontal/>
      </border>
    </dxf>
    <dxf>
      <border outline="0">
        <left style="thin">
          <color indexed="64"/>
        </left>
        <right style="thin">
          <color indexed="64"/>
        </right>
        <top style="thin">
          <color indexed="64"/>
        </top>
      </border>
    </dxf>
    <dxf>
      <font>
        <name val="Times New Roman"/>
        <i val="1"/>
        <strike val="0"/>
        <outline val="0"/>
        <shadow val="0"/>
        <condense val="0"/>
        <color auto="1"/>
        <extend val="0"/>
        <sz val="12"/>
        <vertAlign val="baseline"/>
      </font>
      <fill>
        <patternFill patternType="solid">
          <fgColor indexed="64"/>
          <bgColor indexed="41"/>
        </patternFill>
      </fill>
      <alignment horizontal="center" vertical="center"/>
    </dxf>
    <dxf>
      <border outline="0">
        <bottom style="thin">
          <color indexed="64"/>
        </bottom>
      </border>
    </dxf>
    <dxf>
      <font>
        <name val="Times New Roman"/>
        <b val="1"/>
        <i val="1"/>
        <strike val="0"/>
        <outline val="0"/>
        <shadow val="0"/>
        <condense val="0"/>
        <color auto="1"/>
        <extend val="0"/>
        <sz val="12"/>
        <vertAlign val="baseline"/>
      </font>
      <fill>
        <patternFill patternType="solid">
          <fgColor indexed="64"/>
          <bgColor theme="1" tint="0.499984740745262"/>
        </patternFill>
      </fill>
      <alignment horizontal="center" vertical="center"/>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 xml:space="preserve">Burndown Chart </a:t>
            </a:r>
          </a:p>
        </rich>
      </tx>
      <layout>
        <manualLayout>
          <xMode val="edge"/>
          <yMode val="edge"/>
          <wMode val="factor"/>
          <hMode val="factor"/>
          <x val="0.4035326904361674"/>
          <y val="0.04289547139940841"/>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37510037272738"/>
          <y val="0.168958412284026"/>
          <w val="0.8804353667120671"/>
          <h val="0.6621992582827925"/>
        </manualLayout>
      </layout>
      <lineChart>
        <grouping val="standard"/>
        <varyColors val="0"/>
        <ser>
          <idx val="0"/>
          <order val="0"/>
          <spPr>
            <a:ln xmlns:a="http://schemas.openxmlformats.org/drawingml/2006/main" w="12700">
              <a:solidFill>
                <a:srgbClr val="000090"/>
              </a:solidFill>
              <a:prstDash val="solid"/>
            </a:ln>
          </spPr>
          <marker>
            <symbol val="diamond"/>
            <size val="5"/>
            <spPr>
              <a:solidFill xmlns:a="http://schemas.openxmlformats.org/drawingml/2006/main">
                <a:srgbClr val="000090"/>
              </a:solidFill>
              <a:ln xmlns:a="http://schemas.openxmlformats.org/drawingml/2006/main">
                <a:solidFill>
                  <a:srgbClr val="000090"/>
                </a:solidFill>
                <a:prstDash val="solid"/>
              </a:ln>
            </spPr>
          </marker>
          <dLbls>
            <spPr>
              <a:noFill xmlns:a="http://schemas.openxmlformats.org/drawingml/2006/main"/>
              <a:ln xmlns:a="http://schemas.openxmlformats.org/drawingml/2006/main" w="25400">
                <a:noFill/>
                <a:prstDash val="solid"/>
              </a:ln>
            </spPr>
            <txPr>
              <a:bodyPr xmlns:a="http://schemas.openxmlformats.org/drawingml/2006/main" wrap="square" lIns="38100" tIns="19050" rIns="38100" bIns="19050" anchor="ctr">
                <a:spAutoFit/>
              </a:bodyPr>
              <a:lstStyle xmlns:a="http://schemas.openxmlformats.org/drawingml/2006/main"/>
              <a:p xmlns:a="http://schemas.openxmlformats.org/drawingml/2006/main">
                <a:pPr>
                  <a:defRPr sz="1125" b="0" i="0" strike="noStrike" baseline="0">
                    <a:solidFill>
                      <a:srgbClr val="000000"/>
                    </a:solidFill>
                    <a:latin typeface="Arial"/>
                    <a:ea typeface="Arial"/>
                    <a:cs typeface="Arial"/>
                  </a:defRPr>
                </a:pPr>
                <a:r>
                  <a:t>None</a:t>
                </a:r>
                <a:endParaRPr lang="en-US"/>
              </a:p>
            </txPr>
            <showLegendKey val="0"/>
            <showVal val="1"/>
            <showCatName val="0"/>
            <showSerName val="0"/>
            <showPercent val="0"/>
            <showBubbleSize val="0"/>
            <showLeaderLines val="0"/>
          </dLbls>
          <val>
            <numRef>
              <f>'Sprint 1'!$F$25:$S$25</f>
              <numCache>
                <formatCode>General</formatCode>
                <ptCount val="14"/>
                <pt idx="0">
                  <v>104</v>
                </pt>
                <pt idx="1">
                  <v>101</v>
                </pt>
                <pt idx="2">
                  <v>97</v>
                </pt>
                <pt idx="3">
                  <v>87</v>
                </pt>
                <pt idx="4">
                  <v>77</v>
                </pt>
                <pt idx="5">
                  <v>70</v>
                </pt>
                <pt idx="6">
                  <v>62</v>
                </pt>
                <pt idx="7">
                  <v>56</v>
                </pt>
                <pt idx="8">
                  <v>48</v>
                </pt>
                <pt idx="9">
                  <v>28</v>
                </pt>
                <pt idx="10">
                  <v>18</v>
                </pt>
                <pt idx="11">
                  <v>8</v>
                </pt>
                <pt idx="12">
                  <v>0</v>
                </pt>
                <pt idx="13">
                  <v>0</v>
                </pt>
              </numCache>
            </numRef>
          </val>
          <smooth val="1"/>
        </ser>
        <ser>
          <idx val="1"/>
          <order val="1"/>
          <spPr>
            <a:ln xmlns:a="http://schemas.openxmlformats.org/drawingml/2006/main" w="12700">
              <a:solidFill>
                <a:srgbClr val="F20884"/>
              </a:solidFill>
              <a:prstDash val="solid"/>
            </a:ln>
          </spPr>
          <marker>
            <symbol val="square"/>
            <size val="5"/>
            <spPr>
              <a:solidFill xmlns:a="http://schemas.openxmlformats.org/drawingml/2006/main">
                <a:srgbClr val="F20884"/>
              </a:solidFill>
              <a:ln xmlns:a="http://schemas.openxmlformats.org/drawingml/2006/main">
                <a:solidFill>
                  <a:srgbClr val="F20884"/>
                </a:solidFill>
                <a:prstDash val="solid"/>
              </a:ln>
            </spPr>
          </marker>
          <val>
            <numRef>
              <f>'Sprint 1'!$F$26:$S$26</f>
              <numCache>
                <formatCode>0.0</formatCode>
                <ptCount val="14"/>
                <pt idx="0">
                  <v>104</v>
                </pt>
                <pt idx="1">
                  <v>96.57142857142857</v>
                </pt>
                <pt idx="2">
                  <v>89.14285714285714</v>
                </pt>
                <pt idx="3">
                  <v>81.71428571428571</v>
                </pt>
                <pt idx="4">
                  <v>74.28571428571428</v>
                </pt>
                <pt idx="5">
                  <v>66.85714285714285</v>
                </pt>
                <pt idx="6">
                  <v>59.42857142857142</v>
                </pt>
                <pt idx="7">
                  <v>51.99999999999999</v>
                </pt>
                <pt idx="8">
                  <v>44.57142857142856</v>
                </pt>
                <pt idx="9">
                  <v>37.14285714285712</v>
                </pt>
                <pt idx="10">
                  <v>29.71428571428569</v>
                </pt>
                <pt idx="11">
                  <v>22.28571428571426</v>
                </pt>
                <pt idx="12">
                  <v>14.85714285714283</v>
                </pt>
                <pt idx="13">
                  <v>7.428571428571406</v>
                </pt>
              </numCache>
            </numRef>
          </val>
          <smooth val="1"/>
        </ser>
        <dLbls>
          <showLegendKey val="0"/>
          <showVal val="0"/>
          <showCatName val="0"/>
          <showSerName val="0"/>
          <showPercent val="0"/>
          <showBubbleSize val="0"/>
        </dLbls>
        <marker val="1"/>
        <smooth val="0"/>
        <axId val="228933120"/>
        <axId val="646860736"/>
      </lineChart>
      <catAx>
        <axId val="228933120"/>
        <scaling>
          <orientation val="minMax"/>
        </scaling>
        <delete val="0"/>
        <axPos val="b"/>
        <title>
          <tx>
            <rich>
              <a:bodyPr xmlns:a="http://schemas.openxmlformats.org/drawingml/2006/main"/>
              <a:lstStyle xmlns:a="http://schemas.openxmlformats.org/drawingml/2006/main"/>
              <a:p xmlns:a="http://schemas.openxmlformats.org/drawingml/2006/main">
                <a:pPr>
                  <a:defRPr sz="1125" b="1" i="0" strike="noStrike" baseline="0">
                    <a:solidFill>
                      <a:srgbClr val="000000"/>
                    </a:solidFill>
                    <a:latin typeface="Arial"/>
                    <a:ea typeface="Arial"/>
                    <a:cs typeface="Arial"/>
                  </a:defRPr>
                </a:pPr>
                <a:r>
                  <a:rPr lang="en-US"/>
                  <a:t>Days</a:t>
                </a:r>
              </a:p>
            </rich>
          </tx>
          <layout>
            <manualLayout>
              <xMode val="edge"/>
              <yMode val="edge"/>
              <wMode val="factor"/>
              <hMode val="factor"/>
              <x val="0.5135872482231856"/>
              <y val="0.914210168173422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25" b="0" i="0" strike="noStrike" baseline="0">
                <a:solidFill>
                  <a:srgbClr val="000000"/>
                </a:solidFill>
                <a:latin typeface="Arial"/>
                <a:ea typeface="Arial"/>
                <a:cs typeface="Arial"/>
              </a:defRPr>
            </a:pPr>
            <a:r>
              <a:t>None</a:t>
            </a:r>
            <a:endParaRPr lang="en-US"/>
          </a:p>
        </txPr>
        <crossAx val="646860736"/>
        <crosses val="autoZero"/>
        <auto val="0"/>
        <lblAlgn val="ctr"/>
        <lblOffset val="100"/>
        <tickLblSkip val="1"/>
        <tickMarkSkip val="1"/>
        <noMultiLvlLbl val="0"/>
      </catAx>
      <valAx>
        <axId val="646860736"/>
        <scaling>
          <orientation val="minMax"/>
        </scaling>
        <delete val="0"/>
        <axPos val="l"/>
        <title>
          <tx>
            <rich>
              <a:bodyPr xmlns:a="http://schemas.openxmlformats.org/drawingml/2006/main"/>
              <a:lstStyle xmlns:a="http://schemas.openxmlformats.org/drawingml/2006/main"/>
              <a:p xmlns:a="http://schemas.openxmlformats.org/drawingml/2006/main">
                <a:pPr>
                  <a:defRPr sz="1125" b="1" i="0" strike="noStrike" baseline="0">
                    <a:solidFill>
                      <a:srgbClr val="000000"/>
                    </a:solidFill>
                    <a:latin typeface="Arial"/>
                    <a:ea typeface="Arial"/>
                    <a:cs typeface="Arial"/>
                  </a:defRPr>
                </a:pPr>
                <a:r>
                  <a:rPr lang="en-US"/>
                  <a:t>Remaining Scrum units</a:t>
                </a:r>
              </a:p>
            </rich>
          </tx>
          <layout>
            <manualLayout>
              <xMode val="edge"/>
              <yMode val="edge"/>
              <wMode val="factor"/>
              <hMode val="factor"/>
              <x val="0.02445648647851603"/>
              <y val="0.281501756724853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25" b="0" i="0" strike="noStrike" baseline="0">
                <a:solidFill>
                  <a:srgbClr val="000000"/>
                </a:solidFill>
                <a:latin typeface="Arial"/>
                <a:ea typeface="Arial"/>
                <a:cs typeface="Arial"/>
              </a:defRPr>
            </a:pPr>
            <a:r>
              <a:t>None</a:t>
            </a:r>
            <a:endParaRPr lang="en-US"/>
          </a:p>
        </txPr>
        <crossAx val="228933120"/>
        <crosses val="autoZero"/>
        <crossBetween val="between"/>
      </valAx>
    </plotArea>
    <legend>
      <legendPos val="r"/>
      <layout>
        <manualLayout>
          <xMode val="edge"/>
          <yMode val="edge"/>
          <wMode val="factor"/>
          <hMode val="factor"/>
          <x val="0.8038052752595005"/>
          <y val="0.3048127317418656"/>
          <w val="0.1358064230735203"/>
          <h val="0.1706703328750573"/>
        </manualLayout>
      </layout>
      <overlay val="0"/>
      <spPr>
        <a:solidFill xmlns:a="http://schemas.openxmlformats.org/drawingml/2006/main">
          <a:srgbClr val="FFFFFF"/>
        </a:solidFill>
        <a:ln xmlns:a="http://schemas.openxmlformats.org/drawingml/2006/main" w="3175">
          <a:solidFill>
            <a:srgbClr val="000000"/>
          </a:solidFill>
          <a:prstDash val="solid"/>
        </a:ln>
      </spPr>
      <txPr>
        <a:bodyPr xmlns:a="http://schemas.openxmlformats.org/drawingml/2006/main"/>
        <a:lstStyle xmlns:a="http://schemas.openxmlformats.org/drawingml/2006/main"/>
        <a:p xmlns:a="http://schemas.openxmlformats.org/drawingml/2006/main">
          <a:pPr>
            <a:defRPr sz="1035" b="0" i="0" strike="noStrike" baseline="0">
              <a:solidFill>
                <a:srgbClr val="000000"/>
              </a:solidFill>
              <a:latin typeface="Arial"/>
              <a:ea typeface="Arial"/>
              <a:cs typeface="Arial"/>
            </a:defRPr>
          </a:pPr>
          <a:r>
            <a:t>None</a:t>
          </a:r>
          <a:endParaRPr lang="en-US"/>
        </a:p>
      </txPr>
    </legend>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200" b="1" i="0" strike="noStrike" baseline="0">
                <a:solidFill>
                  <a:srgbClr val="000000"/>
                </a:solidFill>
                <a:latin typeface="Arial"/>
                <a:ea typeface="Arial"/>
                <a:cs typeface="Arial"/>
              </a:defRPr>
            </a:pPr>
            <a:r>
              <a:rPr lang="en-US"/>
              <a:t xml:space="preserve">Burndown Chart </a:t>
            </a:r>
          </a:p>
        </rich>
      </tx>
      <layout>
        <manualLayout>
          <xMode val="edge"/>
          <yMode val="edge"/>
          <wMode val="factor"/>
          <hMode val="factor"/>
          <x val="0.4035326904361674"/>
          <y val="0.04289547139940841"/>
        </manualLayout>
      </layout>
      <overlay val="0"/>
      <spPr>
        <a:noFill xmlns:a="http://schemas.openxmlformats.org/drawingml/2006/main"/>
        <a:ln xmlns:a="http://schemas.openxmlformats.org/drawingml/2006/main" w="25400">
          <a:noFill/>
          <a:prstDash val="solid"/>
        </a:ln>
      </spPr>
    </title>
    <plotArea>
      <layout>
        <manualLayout>
          <layoutTarget val="inner"/>
          <xMode val="edge"/>
          <yMode val="edge"/>
          <wMode val="factor"/>
          <hMode val="factor"/>
          <x val="0.1037510037272738"/>
          <y val="0.168958412284026"/>
          <w val="0.8804353667120671"/>
          <h val="0.6621992582827925"/>
        </manualLayout>
      </layout>
      <lineChart>
        <grouping val="standard"/>
        <varyColors val="0"/>
        <ser>
          <idx val="0"/>
          <order val="0"/>
          <spPr>
            <a:ln xmlns:a="http://schemas.openxmlformats.org/drawingml/2006/main" w="12700">
              <a:solidFill>
                <a:srgbClr val="000090"/>
              </a:solidFill>
              <a:prstDash val="solid"/>
            </a:ln>
          </spPr>
          <marker>
            <symbol val="diamond"/>
            <size val="5"/>
            <spPr>
              <a:solidFill xmlns:a="http://schemas.openxmlformats.org/drawingml/2006/main">
                <a:srgbClr val="000090"/>
              </a:solidFill>
              <a:ln xmlns:a="http://schemas.openxmlformats.org/drawingml/2006/main">
                <a:solidFill>
                  <a:srgbClr val="000090"/>
                </a:solidFill>
                <a:prstDash val="solid"/>
              </a:ln>
            </spPr>
          </marker>
          <dLbls>
            <spPr>
              <a:noFill xmlns:a="http://schemas.openxmlformats.org/drawingml/2006/main"/>
              <a:ln xmlns:a="http://schemas.openxmlformats.org/drawingml/2006/main" w="25400">
                <a:noFill/>
                <a:prstDash val="solid"/>
              </a:ln>
            </spPr>
            <txPr>
              <a:bodyPr xmlns:a="http://schemas.openxmlformats.org/drawingml/2006/main" wrap="square" lIns="38100" tIns="19050" rIns="38100" bIns="19050" anchor="ctr">
                <a:spAutoFit/>
              </a:bodyPr>
              <a:lstStyle xmlns:a="http://schemas.openxmlformats.org/drawingml/2006/main"/>
              <a:p xmlns:a="http://schemas.openxmlformats.org/drawingml/2006/main">
                <a:pPr>
                  <a:defRPr sz="1125" b="0" i="0" strike="noStrike" baseline="0">
                    <a:solidFill>
                      <a:srgbClr val="000000"/>
                    </a:solidFill>
                    <a:latin typeface="Arial"/>
                    <a:ea typeface="Arial"/>
                    <a:cs typeface="Arial"/>
                  </a:defRPr>
                </a:pPr>
                <a:r>
                  <a:t>None</a:t>
                </a:r>
                <a:endParaRPr lang="en-US"/>
              </a:p>
            </txPr>
            <showLegendKey val="0"/>
            <showVal val="1"/>
            <showCatName val="0"/>
            <showSerName val="0"/>
            <showPercent val="0"/>
            <showBubbleSize val="0"/>
            <showLeaderLines val="0"/>
          </dLbls>
          <val>
            <numRef>
              <f>'Sprint 2'!$F$24:$S$24</f>
              <numCache>
                <formatCode>General</formatCode>
                <ptCount val="14"/>
                <pt idx="0">
                  <v>93</v>
                </pt>
                <pt idx="1">
                  <v>90</v>
                </pt>
                <pt idx="2">
                  <v>85</v>
                </pt>
                <pt idx="3">
                  <v>76</v>
                </pt>
                <pt idx="4">
                  <v>67</v>
                </pt>
                <pt idx="5">
                  <v>55</v>
                </pt>
                <pt idx="6">
                  <v>50</v>
                </pt>
                <pt idx="7">
                  <v>43</v>
                </pt>
                <pt idx="8">
                  <v>31</v>
                </pt>
                <pt idx="9">
                  <v>20</v>
                </pt>
                <pt idx="10">
                  <v>10</v>
                </pt>
                <pt idx="11">
                  <v>4</v>
                </pt>
                <pt idx="12">
                  <v>0</v>
                </pt>
                <pt idx="13">
                  <v>0</v>
                </pt>
              </numCache>
            </numRef>
          </val>
          <smooth val="1"/>
        </ser>
        <ser>
          <idx val="1"/>
          <order val="1"/>
          <spPr>
            <a:ln xmlns:a="http://schemas.openxmlformats.org/drawingml/2006/main" w="12700">
              <a:solidFill>
                <a:srgbClr val="F20884"/>
              </a:solidFill>
              <a:prstDash val="solid"/>
            </a:ln>
          </spPr>
          <marker>
            <symbol val="square"/>
            <size val="5"/>
            <spPr>
              <a:solidFill xmlns:a="http://schemas.openxmlformats.org/drawingml/2006/main">
                <a:srgbClr val="F20884"/>
              </a:solidFill>
              <a:ln xmlns:a="http://schemas.openxmlformats.org/drawingml/2006/main">
                <a:solidFill>
                  <a:srgbClr val="F20884"/>
                </a:solidFill>
                <a:prstDash val="solid"/>
              </a:ln>
            </spPr>
          </marker>
          <val>
            <numRef>
              <f>'Sprint 2'!$F$25:$S$25</f>
              <numCache>
                <formatCode>0.0</formatCode>
                <ptCount val="14"/>
                <pt idx="0">
                  <v>93</v>
                </pt>
                <pt idx="1">
                  <v>86.35714285714286</v>
                </pt>
                <pt idx="2">
                  <v>79.71428571428571</v>
                </pt>
                <pt idx="3">
                  <v>73.07142857142857</v>
                </pt>
                <pt idx="4">
                  <v>66.42857142857143</v>
                </pt>
                <pt idx="5">
                  <v>59.78571428571428</v>
                </pt>
                <pt idx="6">
                  <v>53.14285714285715</v>
                </pt>
                <pt idx="7">
                  <v>46.5</v>
                </pt>
                <pt idx="8">
                  <v>39.85714285714285</v>
                </pt>
                <pt idx="9">
                  <v>33.21428571428572</v>
                </pt>
                <pt idx="10">
                  <v>26.57142857142857</v>
                </pt>
                <pt idx="11">
                  <v>19.92857142857143</v>
                </pt>
                <pt idx="12">
                  <v>13.28571428571429</v>
                </pt>
                <pt idx="13">
                  <v>6.642857142857143</v>
                </pt>
              </numCache>
            </numRef>
          </val>
          <smooth val="1"/>
        </ser>
        <dLbls>
          <showLegendKey val="0"/>
          <showVal val="0"/>
          <showCatName val="0"/>
          <showSerName val="0"/>
          <showPercent val="0"/>
          <showBubbleSize val="0"/>
        </dLbls>
        <marker val="1"/>
        <smooth val="0"/>
        <axId val="228933120"/>
        <axId val="646860736"/>
      </lineChart>
      <catAx>
        <axId val="228933120"/>
        <scaling>
          <orientation val="minMax"/>
        </scaling>
        <delete val="0"/>
        <axPos val="b"/>
        <title>
          <tx>
            <rich>
              <a:bodyPr xmlns:a="http://schemas.openxmlformats.org/drawingml/2006/main"/>
              <a:lstStyle xmlns:a="http://schemas.openxmlformats.org/drawingml/2006/main"/>
              <a:p xmlns:a="http://schemas.openxmlformats.org/drawingml/2006/main">
                <a:pPr>
                  <a:defRPr sz="1125" b="1" i="0" strike="noStrike" baseline="0">
                    <a:solidFill>
                      <a:srgbClr val="000000"/>
                    </a:solidFill>
                    <a:latin typeface="Arial"/>
                    <a:ea typeface="Arial"/>
                    <a:cs typeface="Arial"/>
                  </a:defRPr>
                </a:pPr>
                <a:r>
                  <a:rPr lang="en-US"/>
                  <a:t>Days</a:t>
                </a:r>
              </a:p>
            </rich>
          </tx>
          <layout>
            <manualLayout>
              <xMode val="edge"/>
              <yMode val="edge"/>
              <wMode val="factor"/>
              <hMode val="factor"/>
              <x val="0.5135872482231856"/>
              <y val="0.914210168173422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25" b="0" i="0" strike="noStrike" baseline="0">
                <a:solidFill>
                  <a:srgbClr val="000000"/>
                </a:solidFill>
                <a:latin typeface="Arial"/>
                <a:ea typeface="Arial"/>
                <a:cs typeface="Arial"/>
              </a:defRPr>
            </a:pPr>
            <a:r>
              <a:t>None</a:t>
            </a:r>
            <a:endParaRPr lang="en-US"/>
          </a:p>
        </txPr>
        <crossAx val="646860736"/>
        <crosses val="autoZero"/>
        <auto val="0"/>
        <lblAlgn val="ctr"/>
        <lblOffset val="100"/>
        <tickLblSkip val="1"/>
        <tickMarkSkip val="1"/>
        <noMultiLvlLbl val="0"/>
      </catAx>
      <valAx>
        <axId val="646860736"/>
        <scaling>
          <orientation val="minMax"/>
        </scaling>
        <delete val="0"/>
        <axPos val="l"/>
        <title>
          <tx>
            <rich>
              <a:bodyPr xmlns:a="http://schemas.openxmlformats.org/drawingml/2006/main"/>
              <a:lstStyle xmlns:a="http://schemas.openxmlformats.org/drawingml/2006/main"/>
              <a:p xmlns:a="http://schemas.openxmlformats.org/drawingml/2006/main">
                <a:pPr>
                  <a:defRPr sz="1125" b="1" i="0" strike="noStrike" baseline="0">
                    <a:solidFill>
                      <a:srgbClr val="000000"/>
                    </a:solidFill>
                    <a:latin typeface="Arial"/>
                    <a:ea typeface="Arial"/>
                    <a:cs typeface="Arial"/>
                  </a:defRPr>
                </a:pPr>
                <a:r>
                  <a:rPr lang="en-US"/>
                  <a:t>Remaining Scrum units</a:t>
                </a:r>
              </a:p>
            </rich>
          </tx>
          <layout>
            <manualLayout>
              <xMode val="edge"/>
              <yMode val="edge"/>
              <wMode val="factor"/>
              <hMode val="factor"/>
              <x val="0.02445648647851603"/>
              <y val="0.2815017567248538"/>
            </manualLayout>
          </layout>
          <overlay val="0"/>
          <spPr>
            <a:noFill xmlns:a="http://schemas.openxmlformats.org/drawingml/2006/main"/>
            <a:ln xmlns:a="http://schemas.openxmlformats.org/drawingml/2006/main" w="25400">
              <a:noFill/>
              <a:prstDash val="solid"/>
            </a:ln>
          </spPr>
        </title>
        <numFmt formatCode="General" sourceLinked="1"/>
        <majorTickMark val="out"/>
        <minorTickMark val="none"/>
        <tickLblPos val="nextTo"/>
        <spPr>
          <a:ln xmlns:a="http://schemas.openxmlformats.org/drawingml/2006/main" w="3175">
            <a:solidFill>
              <a:srgbClr val="000000"/>
            </a:solidFill>
            <a:prstDash val="solid"/>
          </a:ln>
        </spPr>
        <txPr>
          <a:bodyPr xmlns:a="http://schemas.openxmlformats.org/drawingml/2006/main" rot="0" vert="horz"/>
          <a:lstStyle xmlns:a="http://schemas.openxmlformats.org/drawingml/2006/main"/>
          <a:p xmlns:a="http://schemas.openxmlformats.org/drawingml/2006/main">
            <a:pPr>
              <a:defRPr sz="1125" b="0" i="0" strike="noStrike" baseline="0">
                <a:solidFill>
                  <a:srgbClr val="000000"/>
                </a:solidFill>
                <a:latin typeface="Arial"/>
                <a:ea typeface="Arial"/>
                <a:cs typeface="Arial"/>
              </a:defRPr>
            </a:pPr>
            <a:r>
              <a:t>None</a:t>
            </a:r>
            <a:endParaRPr lang="en-US"/>
          </a:p>
        </txPr>
        <crossAx val="228933120"/>
        <crosses val="autoZero"/>
        <crossBetween val="between"/>
      </valAx>
    </plotArea>
    <legend>
      <legendPos val="r"/>
      <layout>
        <manualLayout>
          <xMode val="edge"/>
          <yMode val="edge"/>
          <wMode val="factor"/>
          <hMode val="factor"/>
          <x val="0.8038052752595005"/>
          <y val="0.3048127317418656"/>
          <w val="0.1358064230735203"/>
          <h val="0.1706703328750573"/>
        </manualLayout>
      </layout>
      <overlay val="0"/>
      <spPr>
        <a:solidFill xmlns:a="http://schemas.openxmlformats.org/drawingml/2006/main">
          <a:srgbClr val="FFFFFF"/>
        </a:solidFill>
        <a:ln xmlns:a="http://schemas.openxmlformats.org/drawingml/2006/main" w="3175">
          <a:solidFill>
            <a:srgbClr val="000000"/>
          </a:solidFill>
          <a:prstDash val="solid"/>
        </a:ln>
      </spPr>
      <txPr>
        <a:bodyPr xmlns:a="http://schemas.openxmlformats.org/drawingml/2006/main"/>
        <a:lstStyle xmlns:a="http://schemas.openxmlformats.org/drawingml/2006/main"/>
        <a:p xmlns:a="http://schemas.openxmlformats.org/drawingml/2006/main">
          <a:pPr>
            <a:defRPr sz="1035" b="0" i="0" strike="noStrike" baseline="0">
              <a:solidFill>
                <a:srgbClr val="000000"/>
              </a:solidFill>
              <a:latin typeface="Arial"/>
              <a:ea typeface="Arial"/>
              <a:cs typeface="Arial"/>
            </a:defRPr>
          </a:pPr>
          <a:r>
            <a:t>None</a:t>
          </a:r>
          <a:endParaRPr lang="en-US"/>
        </a:p>
      </txPr>
    </legend>
    <plotVisOnly val="1"/>
    <dispBlanksAs val="gap"/>
  </chart>
  <spPr>
    <a:solidFill xmlns:a="http://schemas.openxmlformats.org/drawingml/2006/main">
      <a:srgbClr val="FFFFFF"/>
    </a:solidFill>
    <a:ln xmlns:a="http://schemas.openxmlformats.org/drawingml/2006/main" w="3175">
      <a:solidFill>
        <a:srgbClr val="000000"/>
      </a:solidFill>
      <a:prstDash val="soli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editAs="oneCell">
    <from>
      <col>1</col>
      <colOff>66675</colOff>
      <row>18</row>
      <rowOff>95250</rowOff>
    </from>
    <to>
      <col>1</col>
      <colOff>895350</colOff>
      <row>20</row>
      <rowOff>66675</rowOff>
    </to>
    <pic>
      <nvPicPr>
        <cNvPr id="2126" name="Picture 2">
          <a:hlinkClick xmlns:a="http://schemas.openxmlformats.org/drawingml/2006/main" xmlns:r="http://schemas.openxmlformats.org/officeDocument/2006/relationships" r:id="rId1"/>
        </cNvPr>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514600" y="3514725"/>
          <a:ext cx="828675" cy="295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3</col>
      <colOff>1000125</colOff>
      <row>28</row>
      <rowOff>9525</rowOff>
    </from>
    <to>
      <col>19</col>
      <colOff>152400</colOff>
      <row>51</row>
      <rowOff>47625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857250</colOff>
      <row>26</row>
      <rowOff>0</rowOff>
    </from>
    <to>
      <col>19</col>
      <colOff>9525</colOff>
      <row>48</row>
      <rowOff>38100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Table1" displayName="Table1" ref="A10:G25" headerRowCount="1" totalsRowShown="0" headerRowDxfId="14" dataDxfId="12" headerRowBorderDxfId="13" tableBorderDxfId="11">
  <autoFilter ref="A10:G25"/>
  <sortState ref="A11:F19">
    <sortCondition ref="F10:F19"/>
  </sortState>
  <tableColumns count="7">
    <tableColumn id="1" name=" Story ID" dataDxfId="10"/>
    <tableColumn id="2" name="Title" dataDxfId="9"/>
    <tableColumn id="3" name="Description" dataDxfId="8"/>
    <tableColumn id="4" name="s" dataDxfId="7"/>
    <tableColumn id="5" name="Priority #" dataDxfId="6"/>
    <tableColumn id="6" name="Sprint #" dataDxfId="5"/>
    <tableColumn id="7" name="Responsibility" dataDxfId="4"/>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Sheet1">
    <outlinePr summaryBelow="1" summaryRight="1"/>
    <pageSetUpPr/>
  </sheetPr>
  <dimension ref="A2:D35"/>
  <sheetViews>
    <sheetView workbookViewId="0">
      <selection activeCell="A2" sqref="A2:B2"/>
    </sheetView>
  </sheetViews>
  <sheetFormatPr baseColWidth="8" defaultColWidth="11.4609375" defaultRowHeight="12.75"/>
  <cols>
    <col width="36.6796875" customWidth="1" style="16" min="1" max="1"/>
    <col width="114.89453125" customWidth="1" style="175" min="2" max="2"/>
    <col width="11.4609375" customWidth="1" style="175" min="3" max="16384"/>
  </cols>
  <sheetData>
    <row r="2" ht="39.75" customFormat="1" customHeight="1" s="13">
      <c r="A2" s="165" t="inlineStr">
        <is>
          <t>Project Name</t>
        </is>
      </c>
      <c r="C2" s="30" t="n"/>
      <c r="D2" s="30" t="n"/>
    </row>
    <row r="3" ht="14.25" customHeight="1" s="172">
      <c r="A3" s="31" t="n"/>
      <c r="B3" s="30" t="n"/>
      <c r="C3" s="32" t="n"/>
      <c r="D3" s="32" t="n"/>
    </row>
    <row r="4" ht="14.25" customFormat="1" customHeight="1" s="15">
      <c r="A4" s="31" t="n"/>
      <c r="B4" s="33" t="n"/>
      <c r="C4" s="33" t="n"/>
      <c r="D4" s="33" t="n"/>
    </row>
    <row r="5" ht="14.25" customFormat="1" customHeight="1" s="15">
      <c r="A5" s="31" t="n"/>
      <c r="B5" s="33" t="n"/>
      <c r="C5" s="33" t="n"/>
      <c r="D5" s="33" t="n"/>
    </row>
    <row r="6" ht="14.25" customFormat="1" customHeight="1" s="14">
      <c r="A6" s="31" t="inlineStr">
        <is>
          <t>What is this?</t>
        </is>
      </c>
      <c r="B6" s="32" t="inlineStr">
        <is>
          <t>This workbook is meant to help manage and piroritize the user stories and features using scrum.</t>
        </is>
      </c>
      <c r="C6" s="32" t="n"/>
      <c r="D6" s="32" t="n"/>
    </row>
    <row r="7" ht="14.25" customFormat="1" customHeight="1" s="15">
      <c r="A7" s="31" t="n"/>
      <c r="B7" s="33" t="n"/>
      <c r="C7" s="33" t="n"/>
      <c r="D7" s="33" t="n"/>
    </row>
    <row r="8" ht="14.25" customFormat="1" customHeight="1" s="15">
      <c r="A8" s="31" t="n"/>
      <c r="B8" s="34" t="n"/>
      <c r="C8" s="33" t="n"/>
      <c r="D8" s="33" t="n"/>
    </row>
    <row r="9" ht="14.25" customFormat="1" customHeight="1" s="14">
      <c r="A9" s="35" t="n"/>
      <c r="B9" s="34" t="n"/>
      <c r="C9" s="32" t="n"/>
      <c r="D9" s="32" t="n"/>
    </row>
    <row r="10" ht="14.25" customFormat="1" customHeight="1" s="15">
      <c r="A10" s="31" t="n"/>
      <c r="B10" s="33" t="n"/>
      <c r="C10" s="33" t="n"/>
      <c r="D10" s="33" t="n"/>
    </row>
    <row r="11" ht="14.25" customFormat="1" customHeight="1" s="14">
      <c r="A11" s="31" t="inlineStr">
        <is>
          <t>How to use and read this document?</t>
        </is>
      </c>
      <c r="B11" s="36" t="inlineStr">
        <is>
          <t xml:space="preserve">Before project start: The product owner is responsible for managing and maintaining the product backlog of user stories. </t>
        </is>
      </c>
      <c r="C11" s="32" t="n"/>
      <c r="D11" s="32" t="n"/>
    </row>
    <row r="12" ht="14.25" customHeight="1" s="172">
      <c r="A12" s="31" t="n"/>
      <c r="B12" s="36" t="inlineStr">
        <is>
          <t>Before each sprint: The vendor will break down the user stories into tasks.</t>
        </is>
      </c>
      <c r="C12" s="32" t="n"/>
      <c r="D12" s="32" t="n"/>
    </row>
    <row r="13" ht="14.25" customHeight="1" s="172">
      <c r="A13" s="31" t="n"/>
      <c r="B13" s="36" t="n"/>
      <c r="C13" s="32" t="n"/>
      <c r="D13" s="32" t="n"/>
    </row>
    <row r="14" ht="14.25" customHeight="1" s="172">
      <c r="A14" s="31" t="n"/>
      <c r="B14" s="32" t="n"/>
      <c r="C14" s="32" t="n"/>
      <c r="D14" s="32" t="n"/>
    </row>
    <row r="15" ht="14.25" customHeight="1" s="172">
      <c r="A15" s="31" t="inlineStr">
        <is>
          <t>Notes</t>
        </is>
      </c>
      <c r="B15" s="37" t="inlineStr">
        <is>
          <t>Cells that you can edit have a blue background.</t>
        </is>
      </c>
      <c r="C15" s="32" t="n"/>
      <c r="D15" s="32" t="n"/>
    </row>
    <row r="16" ht="14.25" customHeight="1" s="172">
      <c r="A16" s="31" t="n"/>
      <c r="B16" s="32" t="inlineStr">
        <is>
          <t>Sprints are assumed to be 2 weeks long (10 working days)/</t>
        </is>
      </c>
      <c r="C16" s="32" t="n"/>
      <c r="D16" s="32" t="n"/>
    </row>
    <row r="17" ht="14.25" customFormat="1" customHeight="1" s="14">
      <c r="A17" s="31" t="n"/>
      <c r="B17" s="32" t="n"/>
      <c r="C17" s="32" t="n"/>
      <c r="D17" s="32" t="n"/>
    </row>
    <row r="18" ht="14.25" customFormat="1" customHeight="1" s="15">
      <c r="A18" s="31" t="inlineStr">
        <is>
          <t>Licence</t>
        </is>
      </c>
      <c r="B18" s="38" t="inlineStr">
        <is>
          <t>This work is licensed under a Creative Commons Attribution-Share Alike 3.0 Unported License.</t>
        </is>
      </c>
      <c r="C18" s="33" t="n"/>
      <c r="D18" s="33" t="n"/>
    </row>
    <row r="19" ht="14.25" customHeight="1" s="172">
      <c r="A19" s="31" t="n"/>
      <c r="B19" s="32" t="n"/>
      <c r="C19" s="32" t="n"/>
      <c r="D19" s="32" t="n"/>
    </row>
    <row r="20" ht="14.25" customHeight="1" s="172">
      <c r="A20" s="31" t="n"/>
      <c r="B20" s="32" t="n"/>
      <c r="C20" s="32" t="n"/>
      <c r="D20" s="32" t="n"/>
    </row>
    <row r="21" ht="14.25" customHeight="1" s="172">
      <c r="A21" s="31" t="n"/>
      <c r="B21" s="32" t="n"/>
      <c r="C21" s="32" t="n"/>
      <c r="D21" s="32" t="n"/>
    </row>
    <row r="22" ht="14.25" customHeight="1" s="172">
      <c r="A22" s="31" t="n"/>
      <c r="B22" s="32" t="n"/>
      <c r="C22" s="32" t="n"/>
      <c r="D22" s="32" t="n"/>
    </row>
    <row r="23" ht="14.25" customHeight="1" s="172">
      <c r="A23" s="31" t="inlineStr">
        <is>
          <t>Origins</t>
        </is>
      </c>
      <c r="B23" s="32" t="inlineStr">
        <is>
          <t>This work is inspired by the Scrum Template published by Nicolas Martignole on his "Touilleur Express" blog. Adapted by Olivier Gérardin.</t>
        </is>
      </c>
      <c r="C23" s="32" t="n"/>
      <c r="D23" s="32" t="n"/>
    </row>
    <row r="24" ht="14.25" customHeight="1" s="172">
      <c r="A24" s="31" t="n"/>
      <c r="B24" s="34" t="n"/>
      <c r="C24" s="32" t="n"/>
      <c r="D24" s="32" t="n"/>
    </row>
    <row r="31">
      <c r="A31" s="175" t="n"/>
    </row>
    <row r="32">
      <c r="A32" s="175" t="n"/>
    </row>
    <row r="33">
      <c r="A33" s="175" t="n"/>
    </row>
    <row r="34">
      <c r="A34" s="175" t="n"/>
    </row>
    <row r="35">
      <c r="A35" s="175" t="n"/>
    </row>
  </sheetData>
  <mergeCells count="1">
    <mergeCell ref="A2:B2"/>
  </mergeCells>
  <pageMargins left="0.75" right="0.75" top="1" bottom="1" header="0.5" footer="0.5"/>
  <pageSetup orientation="portrait"/>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EC29"/>
  <sheetViews>
    <sheetView zoomScaleNormal="100" workbookViewId="0">
      <selection activeCell="A4" sqref="A4:C8"/>
    </sheetView>
  </sheetViews>
  <sheetFormatPr baseColWidth="8" defaultColWidth="11.4609375" defaultRowHeight="14.25"/>
  <cols>
    <col width="15.23828125" customWidth="1" style="40" min="1" max="1"/>
    <col width="39.2421875" bestFit="1" customWidth="1" style="39" min="2" max="2"/>
    <col width="66.75" customWidth="1" style="39" min="3" max="3"/>
    <col width="85.765625" customWidth="1" style="39" min="4" max="4"/>
    <col width="13.34765625" customWidth="1" style="40" min="5" max="5"/>
    <col width="13.34765625" customWidth="1" style="39" min="6" max="6"/>
    <col width="22.7890625" customWidth="1" style="39" min="7" max="7"/>
    <col width="11.4609375" customWidth="1" style="39" min="8" max="16384"/>
  </cols>
  <sheetData>
    <row r="2">
      <c r="A2" s="167" t="inlineStr">
        <is>
          <t>AceReads - Bookstore Management System</t>
        </is>
      </c>
    </row>
    <row r="3">
      <c r="D3" s="40" t="n"/>
    </row>
    <row r="4">
      <c r="B4" s="45" t="inlineStr">
        <is>
          <t>Organizations</t>
        </is>
      </c>
      <c r="C4" s="46" t="inlineStr">
        <is>
          <t>Ana's Anomalous Anthologies</t>
        </is>
      </c>
      <c r="D4" s="40" t="n"/>
    </row>
    <row r="5">
      <c r="B5" s="45" t="inlineStr">
        <is>
          <t>Project</t>
        </is>
      </c>
      <c r="C5" s="46" t="inlineStr">
        <is>
          <t>AceReads</t>
        </is>
      </c>
      <c r="D5" s="40" t="n"/>
    </row>
    <row r="6">
      <c r="B6" s="45" t="inlineStr">
        <is>
          <t>Product Owner</t>
        </is>
      </c>
      <c r="C6" s="46" t="inlineStr">
        <is>
          <t>Juana Rodriguez</t>
        </is>
      </c>
      <c r="D6" s="40" t="n"/>
    </row>
    <row r="7">
      <c r="B7" s="45" t="inlineStr">
        <is>
          <t>Scrum Master</t>
        </is>
      </c>
      <c r="C7" s="46" t="inlineStr">
        <is>
          <t>Tracy Pillow</t>
        </is>
      </c>
      <c r="D7" s="40" t="n"/>
    </row>
    <row r="8">
      <c r="B8" s="45" t="inlineStr">
        <is>
          <t>Development Team</t>
        </is>
      </c>
      <c r="C8" s="46" t="inlineStr">
        <is>
          <t>Ali Osman, Kyonna Robinson, Juana Rodriguez, Nathan Horstmeier, Phillip Williams</t>
        </is>
      </c>
      <c r="D8" s="40" t="n"/>
    </row>
    <row r="9">
      <c r="D9" s="40" t="n"/>
    </row>
    <row r="10" customFormat="1" s="41">
      <c r="A10" s="43" t="inlineStr">
        <is>
          <t xml:space="preserve"> Story ID</t>
        </is>
      </c>
      <c r="B10" s="44" t="inlineStr">
        <is>
          <t>Title</t>
        </is>
      </c>
      <c r="C10" s="44" t="inlineStr">
        <is>
          <t>Description</t>
        </is>
      </c>
      <c r="D10" s="44" t="inlineStr">
        <is>
          <t>s</t>
        </is>
      </c>
      <c r="E10" s="44" t="inlineStr">
        <is>
          <t>Priority #</t>
        </is>
      </c>
      <c r="F10" s="44" t="inlineStr">
        <is>
          <t>Sprint #</t>
        </is>
      </c>
      <c r="G10" s="69" t="inlineStr">
        <is>
          <t>Responsibility</t>
        </is>
      </c>
    </row>
    <row r="11" ht="93.75" customFormat="1" customHeight="1" s="46">
      <c r="A11" s="46" t="inlineStr">
        <is>
          <t>EPIC-001</t>
        </is>
      </c>
      <c r="B11" s="46" t="inlineStr">
        <is>
          <t>User Registration &amp; Authentication</t>
        </is>
      </c>
      <c r="C11" s="57" t="inlineStr">
        <is>
          <t>As a user, I want to register and securely log into the system so that I can access personalized features and my account information is protected.</t>
        </is>
      </c>
      <c r="D11" s="57" t="inlineStr">
        <is>
          <t>1. Users can register with email, password (min 8 chars, 1 uppercase, 1 number, 1 special char)
2. Email verification is required before account activation
3. Password is encrypted using industry-standard hashing (bcrypt)
4. Users can log in with valid credentials
5. Failed login attempts are limited (max 5) with account lockout
6. Password reset functionality via secure email link
7. Session timeout after 30 minutes of inactivity</t>
        </is>
      </c>
      <c r="E11" s="46" t="n">
        <v>1</v>
      </c>
      <c r="F11" s="46" t="n">
        <v>1</v>
      </c>
      <c r="G11" s="46" t="inlineStr">
        <is>
          <t>Ali Osman (T1-001, T1-002), Juana Rodriguez (T1-003), Kyonna Robinson (T1-004)</t>
        </is>
      </c>
      <c r="H11" s="56" t="n"/>
      <c r="I11" s="56" t="n"/>
      <c r="J11" s="56" t="n"/>
      <c r="K11" s="56" t="n"/>
      <c r="L11" s="56" t="n"/>
      <c r="M11" s="56" t="n"/>
      <c r="N11" s="56" t="n"/>
      <c r="O11" s="56" t="n"/>
      <c r="P11" s="56" t="n"/>
      <c r="Q11" s="56" t="n"/>
      <c r="R11" s="56" t="n"/>
      <c r="S11" s="56" t="n"/>
      <c r="T11" s="56" t="n"/>
      <c r="U11" s="56" t="n"/>
      <c r="V11" s="56" t="n"/>
      <c r="W11" s="56" t="n"/>
      <c r="X11" s="56" t="n"/>
      <c r="Y11" s="56" t="n"/>
      <c r="Z11" s="56" t="n"/>
      <c r="AA11" s="56" t="n"/>
      <c r="AB11" s="56" t="n"/>
      <c r="AC11" s="56" t="n"/>
      <c r="AD11" s="56" t="n"/>
      <c r="AE11" s="56" t="n"/>
      <c r="AF11" s="56" t="n"/>
      <c r="AG11" s="56" t="n"/>
      <c r="AH11" s="56" t="n"/>
      <c r="AI11" s="56" t="n"/>
      <c r="AJ11" s="56" t="n"/>
      <c r="AK11" s="56" t="n"/>
      <c r="AL11" s="56" t="n"/>
      <c r="AM11" s="56" t="n"/>
      <c r="AN11" s="56" t="n"/>
      <c r="AO11" s="56" t="n"/>
      <c r="AP11" s="56" t="n"/>
      <c r="AQ11" s="56" t="n"/>
      <c r="AR11" s="56" t="n"/>
      <c r="AS11" s="56" t="n"/>
      <c r="AT11" s="56" t="n"/>
      <c r="AU11" s="56" t="n"/>
      <c r="AV11" s="56" t="n"/>
      <c r="AW11" s="56" t="n"/>
      <c r="AX11" s="56" t="n"/>
      <c r="AY11" s="56" t="n"/>
      <c r="AZ11" s="56" t="n"/>
      <c r="BA11" s="56" t="n"/>
      <c r="BB11" s="56" t="n"/>
      <c r="BC11" s="56" t="n"/>
      <c r="BD11" s="56" t="n"/>
      <c r="BE11" s="56" t="n"/>
      <c r="BF11" s="56" t="n"/>
      <c r="BG11" s="56" t="n"/>
      <c r="BH11" s="56" t="n"/>
      <c r="BI11" s="56" t="n"/>
      <c r="BJ11" s="56" t="n"/>
      <c r="BK11" s="56" t="n"/>
      <c r="BL11" s="56" t="n"/>
      <c r="BM11" s="56" t="n"/>
      <c r="BN11" s="56" t="n"/>
      <c r="BO11" s="56" t="n"/>
      <c r="BP11" s="56" t="n"/>
      <c r="BQ11" s="56" t="n"/>
      <c r="BR11" s="56" t="n"/>
      <c r="BS11" s="56" t="n"/>
      <c r="BT11" s="56" t="n"/>
      <c r="BU11" s="56" t="n"/>
      <c r="BV11" s="56" t="n"/>
      <c r="BW11" s="56" t="n"/>
      <c r="BX11" s="56" t="n"/>
      <c r="BY11" s="56" t="n"/>
      <c r="BZ11" s="56" t="n"/>
      <c r="CA11" s="56" t="n"/>
      <c r="CB11" s="56" t="n"/>
      <c r="CC11" s="56" t="n"/>
      <c r="CD11" s="56" t="n"/>
      <c r="CE11" s="56" t="n"/>
      <c r="CF11" s="56" t="n"/>
      <c r="CG11" s="56" t="n"/>
      <c r="CH11" s="56" t="n"/>
      <c r="CI11" s="56" t="n"/>
      <c r="CJ11" s="56" t="n"/>
      <c r="CK11" s="56" t="n"/>
      <c r="CL11" s="56" t="n"/>
      <c r="CM11" s="56" t="n"/>
      <c r="CN11" s="56" t="n"/>
      <c r="CO11" s="56" t="n"/>
      <c r="CP11" s="56" t="n"/>
      <c r="CQ11" s="56" t="n"/>
      <c r="CR11" s="56" t="n"/>
      <c r="CS11" s="56" t="n"/>
      <c r="CT11" s="56" t="n"/>
      <c r="CU11" s="56" t="n"/>
      <c r="CV11" s="56" t="n"/>
      <c r="CW11" s="56" t="n"/>
      <c r="CX11" s="56" t="n"/>
      <c r="CY11" s="56" t="n"/>
      <c r="CZ11" s="56" t="n"/>
      <c r="DA11" s="56" t="n"/>
      <c r="DB11" s="56" t="n"/>
      <c r="DC11" s="56" t="n"/>
      <c r="DD11" s="56" t="n"/>
      <c r="DE11" s="56" t="n"/>
      <c r="DF11" s="56" t="n"/>
      <c r="DG11" s="56" t="n"/>
      <c r="DH11" s="56" t="n"/>
      <c r="DI11" s="56" t="n"/>
      <c r="DJ11" s="56" t="n"/>
      <c r="DK11" s="56" t="n"/>
      <c r="DL11" s="56" t="n"/>
      <c r="DM11" s="56" t="n"/>
      <c r="DN11" s="56" t="n"/>
      <c r="DO11" s="56" t="n"/>
      <c r="DP11" s="56" t="n"/>
      <c r="DQ11" s="56" t="n"/>
      <c r="DR11" s="56" t="n"/>
      <c r="DS11" s="56" t="n"/>
      <c r="DT11" s="56" t="n"/>
      <c r="DU11" s="56" t="n"/>
      <c r="DV11" s="56" t="n"/>
      <c r="DW11" s="56" t="n"/>
      <c r="DX11" s="56" t="n"/>
      <c r="DY11" s="56" t="n"/>
      <c r="DZ11" s="56" t="n"/>
      <c r="EA11" s="56" t="n"/>
      <c r="EB11" s="56" t="n"/>
      <c r="EC11" s="56" t="n"/>
    </row>
    <row r="12" ht="120" customFormat="1" customHeight="1" s="46">
      <c r="A12" s="46" t="inlineStr">
        <is>
          <t>EPIC-002</t>
        </is>
      </c>
      <c r="B12" s="46" t="inlineStr">
        <is>
          <t>Book Inventory Management</t>
        </is>
      </c>
      <c r="C12" s="57" t="inlineStr">
        <is>
          <t>As a store manager, I want to manage the book inventory so that I can add, update, and track all books in the system with accurate stock levels.</t>
        </is>
      </c>
      <c r="D12" s="57" t="inlineStr">
        <is>
          <t>1. Admin can add new books with ISBN, title, author, price, quantity, category, publisher, publication date
2. Admin can update existing book information
3. Admin can delete books (soft delete to maintain history)
4. System displays real-time stock levels
5. Low stock alerts triggered when quantity falls below threshold
6. Bulk import of books via CSV/Excel file
7. Book images can be uploaded and displayed
8. Search and filter books by multiple criteria</t>
        </is>
      </c>
      <c r="E12" s="46" t="n">
        <v>1</v>
      </c>
      <c r="F12" s="46" t="n">
        <v>1</v>
      </c>
      <c r="G12" s="46" t="inlineStr">
        <is>
          <t>Nathan Horstmeier (T1-005, T1-006, T1-007)</t>
        </is>
      </c>
      <c r="H12" s="56" t="n"/>
      <c r="I12" s="56" t="n"/>
      <c r="J12" s="56" t="n"/>
      <c r="K12" s="56" t="n"/>
      <c r="L12" s="56" t="n"/>
      <c r="M12" s="56" t="n"/>
      <c r="N12" s="56" t="n"/>
      <c r="O12" s="56" t="n"/>
      <c r="P12" s="56" t="n"/>
      <c r="Q12" s="56" t="n"/>
      <c r="R12" s="56" t="n"/>
      <c r="S12" s="56" t="n"/>
      <c r="T12" s="56" t="n"/>
      <c r="U12" s="56" t="n"/>
      <c r="V12" s="56" t="n"/>
      <c r="W12" s="56" t="n"/>
      <c r="X12" s="56" t="n"/>
      <c r="Y12" s="56" t="n"/>
      <c r="Z12" s="56" t="n"/>
      <c r="AA12" s="56" t="n"/>
      <c r="AB12" s="56" t="n"/>
      <c r="AC12" s="56" t="n"/>
      <c r="AD12" s="56" t="n"/>
      <c r="AE12" s="56" t="n"/>
      <c r="AF12" s="56" t="n"/>
      <c r="AG12" s="56" t="n"/>
      <c r="AH12" s="56" t="n"/>
      <c r="AI12" s="56" t="n"/>
      <c r="AJ12" s="56" t="n"/>
      <c r="AK12" s="56" t="n"/>
      <c r="AL12" s="56" t="n"/>
      <c r="AM12" s="56" t="n"/>
      <c r="AN12" s="56" t="n"/>
      <c r="AO12" s="56" t="n"/>
      <c r="AP12" s="56" t="n"/>
      <c r="AQ12" s="56" t="n"/>
      <c r="AR12" s="56" t="n"/>
      <c r="AS12" s="56" t="n"/>
      <c r="AT12" s="56" t="n"/>
      <c r="AU12" s="56" t="n"/>
      <c r="AV12" s="56" t="n"/>
      <c r="AW12" s="56" t="n"/>
      <c r="AX12" s="56" t="n"/>
      <c r="AY12" s="56" t="n"/>
      <c r="AZ12" s="56" t="n"/>
      <c r="BA12" s="56" t="n"/>
      <c r="BB12" s="56" t="n"/>
      <c r="BC12" s="56" t="n"/>
      <c r="BD12" s="56" t="n"/>
      <c r="BE12" s="56" t="n"/>
      <c r="BF12" s="56" t="n"/>
      <c r="BG12" s="56" t="n"/>
      <c r="BH12" s="56" t="n"/>
      <c r="BI12" s="56" t="n"/>
      <c r="BJ12" s="56" t="n"/>
      <c r="BK12" s="56" t="n"/>
      <c r="BL12" s="56" t="n"/>
      <c r="BM12" s="56" t="n"/>
      <c r="BN12" s="56" t="n"/>
      <c r="BO12" s="56" t="n"/>
      <c r="BP12" s="56" t="n"/>
      <c r="BQ12" s="56" t="n"/>
      <c r="BR12" s="56" t="n"/>
      <c r="BS12" s="56" t="n"/>
      <c r="BT12" s="56" t="n"/>
      <c r="BU12" s="56" t="n"/>
      <c r="BV12" s="56" t="n"/>
      <c r="BW12" s="56" t="n"/>
      <c r="BX12" s="56" t="n"/>
      <c r="BY12" s="56" t="n"/>
      <c r="BZ12" s="56" t="n"/>
      <c r="CA12" s="56" t="n"/>
      <c r="CB12" s="56" t="n"/>
      <c r="CC12" s="56" t="n"/>
      <c r="CD12" s="56" t="n"/>
      <c r="CE12" s="56" t="n"/>
      <c r="CF12" s="56" t="n"/>
      <c r="CG12" s="56" t="n"/>
      <c r="CH12" s="56" t="n"/>
      <c r="CI12" s="56" t="n"/>
      <c r="CJ12" s="56" t="n"/>
      <c r="CK12" s="56" t="n"/>
      <c r="CL12" s="56" t="n"/>
      <c r="CM12" s="56" t="n"/>
      <c r="CN12" s="56" t="n"/>
      <c r="CO12" s="56" t="n"/>
      <c r="CP12" s="56" t="n"/>
      <c r="CQ12" s="56" t="n"/>
      <c r="CR12" s="56" t="n"/>
      <c r="CS12" s="56" t="n"/>
      <c r="CT12" s="56" t="n"/>
      <c r="CU12" s="56" t="n"/>
      <c r="CV12" s="56" t="n"/>
      <c r="CW12" s="56" t="n"/>
      <c r="CX12" s="56" t="n"/>
      <c r="CY12" s="56" t="n"/>
      <c r="CZ12" s="56" t="n"/>
      <c r="DA12" s="56" t="n"/>
      <c r="DB12" s="56" t="n"/>
      <c r="DC12" s="56" t="n"/>
      <c r="DD12" s="56" t="n"/>
      <c r="DE12" s="56" t="n"/>
      <c r="DF12" s="56" t="n"/>
      <c r="DG12" s="56" t="n"/>
      <c r="DH12" s="56" t="n"/>
      <c r="DI12" s="56" t="n"/>
      <c r="DJ12" s="56" t="n"/>
      <c r="DK12" s="56" t="n"/>
      <c r="DL12" s="56" t="n"/>
      <c r="DM12" s="56" t="n"/>
      <c r="DN12" s="56" t="n"/>
      <c r="DO12" s="56" t="n"/>
      <c r="DP12" s="56" t="n"/>
      <c r="DQ12" s="56" t="n"/>
      <c r="DR12" s="56" t="n"/>
      <c r="DS12" s="56" t="n"/>
      <c r="DT12" s="56" t="n"/>
      <c r="DU12" s="56" t="n"/>
      <c r="DV12" s="56" t="n"/>
      <c r="DW12" s="56" t="n"/>
      <c r="DX12" s="56" t="n"/>
      <c r="DY12" s="56" t="n"/>
      <c r="DZ12" s="56" t="n"/>
      <c r="EA12" s="56" t="n"/>
      <c r="EB12" s="56" t="n"/>
      <c r="EC12" s="56" t="n"/>
    </row>
    <row r="13" ht="107.25" customFormat="1" customHeight="1" s="46">
      <c r="A13" s="46" t="inlineStr">
        <is>
          <t>EPIC-003</t>
        </is>
      </c>
      <c r="B13" s="46" t="inlineStr">
        <is>
          <t>Book Search &amp; Catalog Browsing</t>
        </is>
      </c>
      <c r="C13" s="57" t="inlineStr">
        <is>
          <t>As a customer, I want to search and browse books so that I can easily find books I'm interested in purchasing.</t>
        </is>
      </c>
      <c r="D13" s="57" t="inlineStr">
        <is>
          <t>1. Search by title, author, ISBN, or keyword
2. Filter results by category, price range, availability, rating
3. Sort results by relevance, price, date, popularity
4. Display book details including description, reviews, ratings
5. Search results load within 2 seconds
6. Auto-suggest/autocomplete functionality
7. Browse by categories and subcategories
8. Recently viewed books history</t>
        </is>
      </c>
      <c r="E13" s="46" t="n">
        <v>2</v>
      </c>
      <c r="F13" s="46" t="n">
        <v>1</v>
      </c>
      <c r="G13" s="46" t="inlineStr">
        <is>
          <t>Nathan Horstmeier (T1-008 through T1-011), Kyonna Robinson (T1-011)</t>
        </is>
      </c>
      <c r="H13" s="56" t="n"/>
      <c r="I13" s="56" t="n"/>
      <c r="J13" s="56" t="n"/>
      <c r="K13" s="56" t="n"/>
      <c r="L13" s="56" t="n"/>
      <c r="M13" s="56" t="n"/>
      <c r="N13" s="56" t="n"/>
      <c r="O13" s="56" t="n"/>
      <c r="P13" s="56" t="n"/>
      <c r="Q13" s="56" t="n"/>
      <c r="R13" s="56" t="n"/>
      <c r="S13" s="56" t="n"/>
      <c r="T13" s="56" t="n"/>
      <c r="U13" s="56" t="n"/>
      <c r="V13" s="56" t="n"/>
      <c r="W13" s="56" t="n"/>
      <c r="X13" s="56" t="n"/>
      <c r="Y13" s="56" t="n"/>
      <c r="Z13" s="56" t="n"/>
      <c r="AA13" s="56" t="n"/>
      <c r="AB13" s="56" t="n"/>
      <c r="AC13" s="56" t="n"/>
      <c r="AD13" s="56" t="n"/>
      <c r="AE13" s="56" t="n"/>
      <c r="AF13" s="56" t="n"/>
      <c r="AG13" s="56" t="n"/>
      <c r="AH13" s="56" t="n"/>
      <c r="AI13" s="56" t="n"/>
      <c r="AJ13" s="56" t="n"/>
      <c r="AK13" s="56" t="n"/>
      <c r="AL13" s="56" t="n"/>
      <c r="AM13" s="56" t="n"/>
      <c r="AN13" s="56" t="n"/>
      <c r="AO13" s="56" t="n"/>
      <c r="AP13" s="56" t="n"/>
      <c r="AQ13" s="56" t="n"/>
      <c r="AR13" s="56" t="n"/>
      <c r="AS13" s="56" t="n"/>
      <c r="AT13" s="56" t="n"/>
      <c r="AU13" s="56" t="n"/>
      <c r="AV13" s="56" t="n"/>
      <c r="AW13" s="56" t="n"/>
      <c r="AX13" s="56" t="n"/>
      <c r="AY13" s="56" t="n"/>
      <c r="AZ13" s="56" t="n"/>
      <c r="BA13" s="56" t="n"/>
      <c r="BB13" s="56" t="n"/>
      <c r="BC13" s="56" t="n"/>
      <c r="BD13" s="56" t="n"/>
      <c r="BE13" s="56" t="n"/>
      <c r="BF13" s="56" t="n"/>
      <c r="BG13" s="56" t="n"/>
      <c r="BH13" s="56" t="n"/>
      <c r="BI13" s="56" t="n"/>
      <c r="BJ13" s="56" t="n"/>
      <c r="BK13" s="56" t="n"/>
      <c r="BL13" s="56" t="n"/>
      <c r="BM13" s="56" t="n"/>
      <c r="BN13" s="56" t="n"/>
      <c r="BO13" s="56" t="n"/>
      <c r="BP13" s="56" t="n"/>
      <c r="BQ13" s="56" t="n"/>
      <c r="BR13" s="56" t="n"/>
      <c r="BS13" s="56" t="n"/>
      <c r="BT13" s="56" t="n"/>
      <c r="BU13" s="56" t="n"/>
      <c r="BV13" s="56" t="n"/>
      <c r="BW13" s="56" t="n"/>
      <c r="BX13" s="56" t="n"/>
      <c r="BY13" s="56" t="n"/>
      <c r="BZ13" s="56" t="n"/>
      <c r="CA13" s="56" t="n"/>
      <c r="CB13" s="56" t="n"/>
      <c r="CC13" s="56" t="n"/>
      <c r="CD13" s="56" t="n"/>
      <c r="CE13" s="56" t="n"/>
      <c r="CF13" s="56" t="n"/>
      <c r="CG13" s="56" t="n"/>
      <c r="CH13" s="56" t="n"/>
      <c r="CI13" s="56" t="n"/>
      <c r="CJ13" s="56" t="n"/>
      <c r="CK13" s="56" t="n"/>
      <c r="CL13" s="56" t="n"/>
      <c r="CM13" s="56" t="n"/>
      <c r="CN13" s="56" t="n"/>
      <c r="CO13" s="56" t="n"/>
      <c r="CP13" s="56" t="n"/>
      <c r="CQ13" s="56" t="n"/>
      <c r="CR13" s="56" t="n"/>
      <c r="CS13" s="56" t="n"/>
      <c r="CT13" s="56" t="n"/>
      <c r="CU13" s="56" t="n"/>
      <c r="CV13" s="56" t="n"/>
      <c r="CW13" s="56" t="n"/>
      <c r="CX13" s="56" t="n"/>
      <c r="CY13" s="56" t="n"/>
      <c r="CZ13" s="56" t="n"/>
      <c r="DA13" s="56" t="n"/>
      <c r="DB13" s="56" t="n"/>
      <c r="DC13" s="56" t="n"/>
      <c r="DD13" s="56" t="n"/>
      <c r="DE13" s="56" t="n"/>
      <c r="DF13" s="56" t="n"/>
      <c r="DG13" s="56" t="n"/>
      <c r="DH13" s="56" t="n"/>
      <c r="DI13" s="56" t="n"/>
      <c r="DJ13" s="56" t="n"/>
      <c r="DK13" s="56" t="n"/>
      <c r="DL13" s="56" t="n"/>
      <c r="DM13" s="56" t="n"/>
      <c r="DN13" s="56" t="n"/>
      <c r="DO13" s="56" t="n"/>
      <c r="DP13" s="56" t="n"/>
      <c r="DQ13" s="56" t="n"/>
      <c r="DR13" s="56" t="n"/>
      <c r="DS13" s="56" t="n"/>
      <c r="DT13" s="56" t="n"/>
      <c r="DU13" s="56" t="n"/>
      <c r="DV13" s="56" t="n"/>
      <c r="DW13" s="56" t="n"/>
      <c r="DX13" s="56" t="n"/>
      <c r="DY13" s="56" t="n"/>
      <c r="DZ13" s="56" t="n"/>
      <c r="EA13" s="56" t="n"/>
      <c r="EB13" s="56" t="n"/>
      <c r="EC13" s="56" t="n"/>
    </row>
    <row r="14" ht="120" customFormat="1" customHeight="1" s="46">
      <c r="A14" s="46" t="inlineStr">
        <is>
          <t>EPIC-004</t>
        </is>
      </c>
      <c r="B14" s="46" t="inlineStr">
        <is>
          <t>Shopping Cart &amp; Checkout Process</t>
        </is>
      </c>
      <c r="C14" s="57" t="inlineStr">
        <is>
          <t>As a customer, I want to add books to a shopping cart and complete purchases so that I can buy multiple books in a single transaction.</t>
        </is>
      </c>
      <c r="D14" s="57" t="inlineStr">
        <is>
          <t>1. Add/remove books from cart
2. Update quantities in cart
3. Cart persists across sessions for logged-in users
4. Display itemized cart with subtotal, taxes, shipping
5. Apply discount codes/coupons
6. Multiple shipping address options
7. Order summary before final confirmation
8. Email confirmation sent upon successful order
9. Cart abandonment recovery emails</t>
        </is>
      </c>
      <c r="E14" s="46" t="n">
        <v>1</v>
      </c>
      <c r="F14" s="46" t="n">
        <v>2</v>
      </c>
      <c r="G14" s="46" t="inlineStr">
        <is>
          <t>Phillip Williams</t>
        </is>
      </c>
      <c r="H14" s="56" t="n"/>
      <c r="I14" s="56" t="n"/>
      <c r="J14" s="56" t="n"/>
      <c r="K14" s="56" t="n"/>
      <c r="L14" s="56" t="n"/>
      <c r="M14" s="56" t="n"/>
      <c r="N14" s="56" t="n"/>
      <c r="O14" s="56" t="n"/>
      <c r="P14" s="56" t="n"/>
      <c r="Q14" s="56" t="n"/>
      <c r="R14" s="56" t="n"/>
      <c r="S14" s="56" t="n"/>
      <c r="T14" s="56" t="n"/>
      <c r="U14" s="56" t="n"/>
      <c r="V14" s="56" t="n"/>
      <c r="W14" s="56" t="n"/>
      <c r="X14" s="56" t="n"/>
      <c r="Y14" s="56" t="n"/>
      <c r="Z14" s="56" t="n"/>
      <c r="AA14" s="56" t="n"/>
      <c r="AB14" s="56" t="n"/>
      <c r="AC14" s="56" t="n"/>
      <c r="AD14" s="56" t="n"/>
      <c r="AE14" s="56" t="n"/>
      <c r="AF14" s="56" t="n"/>
      <c r="AG14" s="56" t="n"/>
      <c r="AH14" s="56" t="n"/>
      <c r="AI14" s="56" t="n"/>
      <c r="AJ14" s="56" t="n"/>
      <c r="AK14" s="56" t="n"/>
      <c r="AL14" s="56" t="n"/>
      <c r="AM14" s="56" t="n"/>
      <c r="AN14" s="56" t="n"/>
      <c r="AO14" s="56" t="n"/>
      <c r="AP14" s="56" t="n"/>
      <c r="AQ14" s="56" t="n"/>
      <c r="AR14" s="56" t="n"/>
      <c r="AS14" s="56" t="n"/>
      <c r="AT14" s="56" t="n"/>
      <c r="AU14" s="56" t="n"/>
      <c r="AV14" s="56" t="n"/>
      <c r="AW14" s="56" t="n"/>
      <c r="AX14" s="56" t="n"/>
      <c r="AY14" s="56" t="n"/>
      <c r="AZ14" s="56" t="n"/>
      <c r="BA14" s="56" t="n"/>
      <c r="BB14" s="56" t="n"/>
      <c r="BC14" s="56" t="n"/>
      <c r="BD14" s="56" t="n"/>
      <c r="BE14" s="56" t="n"/>
      <c r="BF14" s="56" t="n"/>
      <c r="BG14" s="56" t="n"/>
      <c r="BH14" s="56" t="n"/>
      <c r="BI14" s="56" t="n"/>
      <c r="BJ14" s="56" t="n"/>
      <c r="BK14" s="56" t="n"/>
      <c r="BL14" s="56" t="n"/>
      <c r="BM14" s="56" t="n"/>
      <c r="BN14" s="56" t="n"/>
      <c r="BO14" s="56" t="n"/>
      <c r="BP14" s="56" t="n"/>
      <c r="BQ14" s="56" t="n"/>
      <c r="BR14" s="56" t="n"/>
      <c r="BS14" s="56" t="n"/>
      <c r="BT14" s="56" t="n"/>
      <c r="BU14" s="56" t="n"/>
      <c r="BV14" s="56" t="n"/>
      <c r="BW14" s="56" t="n"/>
      <c r="BX14" s="56" t="n"/>
      <c r="BY14" s="56" t="n"/>
      <c r="BZ14" s="56" t="n"/>
      <c r="CA14" s="56" t="n"/>
      <c r="CB14" s="56" t="n"/>
      <c r="CC14" s="56" t="n"/>
      <c r="CD14" s="56" t="n"/>
      <c r="CE14" s="56" t="n"/>
      <c r="CF14" s="56" t="n"/>
      <c r="CG14" s="56" t="n"/>
      <c r="CH14" s="56" t="n"/>
      <c r="CI14" s="56" t="n"/>
      <c r="CJ14" s="56" t="n"/>
      <c r="CK14" s="56" t="n"/>
      <c r="CL14" s="56" t="n"/>
      <c r="CM14" s="56" t="n"/>
      <c r="CN14" s="56" t="n"/>
      <c r="CO14" s="56" t="n"/>
      <c r="CP14" s="56" t="n"/>
      <c r="CQ14" s="56" t="n"/>
      <c r="CR14" s="56" t="n"/>
      <c r="CS14" s="56" t="n"/>
      <c r="CT14" s="56" t="n"/>
      <c r="CU14" s="56" t="n"/>
      <c r="CV14" s="56" t="n"/>
      <c r="CW14" s="56" t="n"/>
      <c r="CX14" s="56" t="n"/>
      <c r="CY14" s="56" t="n"/>
      <c r="CZ14" s="56" t="n"/>
      <c r="DA14" s="56" t="n"/>
      <c r="DB14" s="56" t="n"/>
      <c r="DC14" s="56" t="n"/>
      <c r="DD14" s="56" t="n"/>
      <c r="DE14" s="56" t="n"/>
      <c r="DF14" s="56" t="n"/>
      <c r="DG14" s="56" t="n"/>
      <c r="DH14" s="56" t="n"/>
      <c r="DI14" s="56" t="n"/>
      <c r="DJ14" s="56" t="n"/>
      <c r="DK14" s="56" t="n"/>
      <c r="DL14" s="56" t="n"/>
      <c r="DM14" s="56" t="n"/>
      <c r="DN14" s="56" t="n"/>
      <c r="DO14" s="56" t="n"/>
      <c r="DP14" s="56" t="n"/>
      <c r="DQ14" s="56" t="n"/>
      <c r="DR14" s="56" t="n"/>
      <c r="DS14" s="56" t="n"/>
      <c r="DT14" s="56" t="n"/>
      <c r="DU14" s="56" t="n"/>
      <c r="DV14" s="56" t="n"/>
      <c r="DW14" s="56" t="n"/>
      <c r="DX14" s="56" t="n"/>
      <c r="DY14" s="56" t="n"/>
      <c r="DZ14" s="56" t="n"/>
      <c r="EA14" s="56" t="n"/>
      <c r="EB14" s="56" t="n"/>
      <c r="EC14" s="56" t="n"/>
    </row>
    <row r="15" ht="107.25" customFormat="1" customHeight="1" s="46">
      <c r="A15" s="46" t="inlineStr">
        <is>
          <t>EPIC-005</t>
        </is>
      </c>
      <c r="B15" s="46" t="inlineStr">
        <is>
          <t>Secure Payment Processing</t>
        </is>
      </c>
      <c r="C15" s="57" t="inlineStr">
        <is>
          <t>As a customer, I want to make secure payments so that my financial information is protected and I can complete transactions safely.</t>
        </is>
      </c>
      <c r="D15" s="57" t="inlineStr">
        <is>
          <t>1. Integration with PCI-DSS compliant payment gateway
2. Support multiple payment methods (credit/debit cards, PayPal, digital wallets)
3. Card details are never stored on local servers
4. SSL/TLS encryption for all payment transactions
5. Payment confirmation and receipt generation
6. Refund processing capability
7. Transaction logging for audit purposes
8. Fraud detection mechanisms in place</t>
        </is>
      </c>
      <c r="E15" s="46" t="n">
        <v>1</v>
      </c>
      <c r="F15" s="46" t="n">
        <v>2</v>
      </c>
      <c r="G15" s="46" t="inlineStr">
        <is>
          <t>Development Team</t>
        </is>
      </c>
      <c r="H15" s="56" t="n"/>
      <c r="I15" s="56" t="n"/>
      <c r="J15" s="56" t="n"/>
      <c r="K15" s="56" t="n"/>
      <c r="L15" s="56" t="n"/>
      <c r="M15" s="56" t="n"/>
      <c r="N15" s="56" t="n"/>
      <c r="O15" s="56" t="n"/>
      <c r="P15" s="56" t="n"/>
      <c r="Q15" s="56" t="n"/>
      <c r="R15" s="56" t="n"/>
      <c r="S15" s="56" t="n"/>
      <c r="T15" s="56" t="n"/>
      <c r="U15" s="56" t="n"/>
      <c r="V15" s="56" t="n"/>
      <c r="W15" s="56" t="n"/>
      <c r="X15" s="56" t="n"/>
      <c r="Y15" s="56" t="n"/>
      <c r="Z15" s="56" t="n"/>
      <c r="AA15" s="56" t="n"/>
      <c r="AB15" s="56" t="n"/>
      <c r="AC15" s="56" t="n"/>
      <c r="AD15" s="56" t="n"/>
      <c r="AE15" s="56" t="n"/>
      <c r="AF15" s="56" t="n"/>
      <c r="AG15" s="56" t="n"/>
      <c r="AH15" s="56" t="n"/>
      <c r="AI15" s="56" t="n"/>
      <c r="AJ15" s="56" t="n"/>
      <c r="AK15" s="56" t="n"/>
      <c r="AL15" s="56" t="n"/>
      <c r="AM15" s="56" t="n"/>
      <c r="AN15" s="56" t="n"/>
      <c r="AO15" s="56" t="n"/>
      <c r="AP15" s="56" t="n"/>
      <c r="AQ15" s="56" t="n"/>
      <c r="AR15" s="56" t="n"/>
      <c r="AS15" s="56" t="n"/>
      <c r="AT15" s="56" t="n"/>
      <c r="AU15" s="56" t="n"/>
      <c r="AV15" s="56" t="n"/>
      <c r="AW15" s="56" t="n"/>
      <c r="AX15" s="56" t="n"/>
      <c r="AY15" s="56" t="n"/>
      <c r="AZ15" s="56" t="n"/>
      <c r="BA15" s="56" t="n"/>
      <c r="BB15" s="56" t="n"/>
      <c r="BC15" s="56" t="n"/>
      <c r="BD15" s="56" t="n"/>
      <c r="BE15" s="56" t="n"/>
      <c r="BF15" s="56" t="n"/>
      <c r="BG15" s="56" t="n"/>
      <c r="BH15" s="56" t="n"/>
      <c r="BI15" s="56" t="n"/>
      <c r="BJ15" s="56" t="n"/>
      <c r="BK15" s="56" t="n"/>
      <c r="BL15" s="56" t="n"/>
      <c r="BM15" s="56" t="n"/>
      <c r="BN15" s="56" t="n"/>
      <c r="BO15" s="56" t="n"/>
      <c r="BP15" s="56" t="n"/>
      <c r="BQ15" s="56" t="n"/>
      <c r="BR15" s="56" t="n"/>
      <c r="BS15" s="56" t="n"/>
      <c r="BT15" s="56" t="n"/>
      <c r="BU15" s="56" t="n"/>
      <c r="BV15" s="56" t="n"/>
      <c r="BW15" s="56" t="n"/>
      <c r="BX15" s="56" t="n"/>
      <c r="BY15" s="56" t="n"/>
      <c r="BZ15" s="56" t="n"/>
      <c r="CA15" s="56" t="n"/>
      <c r="CB15" s="56" t="n"/>
      <c r="CC15" s="56" t="n"/>
      <c r="CD15" s="56" t="n"/>
      <c r="CE15" s="56" t="n"/>
      <c r="CF15" s="56" t="n"/>
      <c r="CG15" s="56" t="n"/>
      <c r="CH15" s="56" t="n"/>
      <c r="CI15" s="56" t="n"/>
      <c r="CJ15" s="56" t="n"/>
      <c r="CK15" s="56" t="n"/>
      <c r="CL15" s="56" t="n"/>
      <c r="CM15" s="56" t="n"/>
      <c r="CN15" s="56" t="n"/>
      <c r="CO15" s="56" t="n"/>
      <c r="CP15" s="56" t="n"/>
      <c r="CQ15" s="56" t="n"/>
      <c r="CR15" s="56" t="n"/>
      <c r="CS15" s="56" t="n"/>
      <c r="CT15" s="56" t="n"/>
      <c r="CU15" s="56" t="n"/>
      <c r="CV15" s="56" t="n"/>
      <c r="CW15" s="56" t="n"/>
      <c r="CX15" s="56" t="n"/>
      <c r="CY15" s="56" t="n"/>
      <c r="CZ15" s="56" t="n"/>
      <c r="DA15" s="56" t="n"/>
      <c r="DB15" s="56" t="n"/>
      <c r="DC15" s="56" t="n"/>
      <c r="DD15" s="56" t="n"/>
      <c r="DE15" s="56" t="n"/>
      <c r="DF15" s="56" t="n"/>
      <c r="DG15" s="56" t="n"/>
      <c r="DH15" s="56" t="n"/>
      <c r="DI15" s="56" t="n"/>
      <c r="DJ15" s="56" t="n"/>
      <c r="DK15" s="56" t="n"/>
      <c r="DL15" s="56" t="n"/>
      <c r="DM15" s="56" t="n"/>
      <c r="DN15" s="56" t="n"/>
      <c r="DO15" s="56" t="n"/>
      <c r="DP15" s="56" t="n"/>
      <c r="DQ15" s="56" t="n"/>
      <c r="DR15" s="56" t="n"/>
      <c r="DS15" s="56" t="n"/>
      <c r="DT15" s="56" t="n"/>
      <c r="DU15" s="56" t="n"/>
      <c r="DV15" s="56" t="n"/>
      <c r="DW15" s="56" t="n"/>
      <c r="DX15" s="56" t="n"/>
      <c r="DY15" s="56" t="n"/>
      <c r="DZ15" s="56" t="n"/>
      <c r="EA15" s="56" t="n"/>
      <c r="EB15" s="56" t="n"/>
      <c r="EC15" s="56" t="n"/>
    </row>
    <row r="16" ht="107.25" customFormat="1" customHeight="1" s="46">
      <c r="A16" s="46" t="inlineStr">
        <is>
          <t>EPIC-006</t>
        </is>
      </c>
      <c r="B16" s="46" t="inlineStr">
        <is>
          <t>Order Management System</t>
        </is>
      </c>
      <c r="C16" s="57" t="inlineStr">
        <is>
          <t>As a store manager, I want to manage customer orders so that I can track order status, process shipments, and handle returns efficiently.</t>
        </is>
      </c>
      <c r="D16" s="57" t="inlineStr">
        <is>
          <t>1. View all orders with filtering by status, date, customer
2. Update order status (pending, processing, shipped, delivered, cancelled)
3. Generate shipping labels and tracking numbers
4. Send automated status update notifications to customers
5. Process returns and refunds
6. Order history maintained for minimum 7 years
7. Generate order reports and analytics
8. Handle partial shipments</t>
        </is>
      </c>
      <c r="E16" s="46" t="n">
        <v>2</v>
      </c>
      <c r="F16" s="46" t="n">
        <v>2</v>
      </c>
      <c r="G16" s="46" t="inlineStr">
        <is>
          <t>Development Team</t>
        </is>
      </c>
      <c r="H16" s="56" t="n"/>
      <c r="I16" s="56" t="n"/>
      <c r="J16" s="56" t="n"/>
      <c r="K16" s="56" t="n"/>
      <c r="L16" s="56" t="n"/>
      <c r="M16" s="56" t="n"/>
      <c r="N16" s="56" t="n"/>
      <c r="O16" s="56" t="n"/>
      <c r="P16" s="56" t="n"/>
      <c r="Q16" s="56" t="n"/>
      <c r="R16" s="56" t="n"/>
      <c r="S16" s="56" t="n"/>
      <c r="T16" s="56" t="n"/>
      <c r="U16" s="56" t="n"/>
      <c r="V16" s="56" t="n"/>
      <c r="W16" s="56" t="n"/>
      <c r="X16" s="56" t="n"/>
      <c r="Y16" s="56" t="n"/>
      <c r="Z16" s="56" t="n"/>
      <c r="AA16" s="56" t="n"/>
      <c r="AB16" s="56" t="n"/>
      <c r="AC16" s="56" t="n"/>
      <c r="AD16" s="56" t="n"/>
      <c r="AE16" s="56" t="n"/>
      <c r="AF16" s="56" t="n"/>
      <c r="AG16" s="56" t="n"/>
      <c r="AH16" s="56" t="n"/>
      <c r="AI16" s="56" t="n"/>
      <c r="AJ16" s="56" t="n"/>
      <c r="AK16" s="56" t="n"/>
      <c r="AL16" s="56" t="n"/>
      <c r="AM16" s="56" t="n"/>
      <c r="AN16" s="56" t="n"/>
      <c r="AO16" s="56" t="n"/>
      <c r="AP16" s="56" t="n"/>
      <c r="AQ16" s="56" t="n"/>
      <c r="AR16" s="56" t="n"/>
      <c r="AS16" s="56" t="n"/>
      <c r="AT16" s="56" t="n"/>
      <c r="AU16" s="56" t="n"/>
      <c r="AV16" s="56" t="n"/>
      <c r="AW16" s="56" t="n"/>
      <c r="AX16" s="56" t="n"/>
      <c r="AY16" s="56" t="n"/>
      <c r="AZ16" s="56" t="n"/>
      <c r="BA16" s="56" t="n"/>
      <c r="BB16" s="56" t="n"/>
      <c r="BC16" s="56" t="n"/>
      <c r="BD16" s="56" t="n"/>
      <c r="BE16" s="56" t="n"/>
      <c r="BF16" s="56" t="n"/>
      <c r="BG16" s="56" t="n"/>
      <c r="BH16" s="56" t="n"/>
      <c r="BI16" s="56" t="n"/>
      <c r="BJ16" s="56" t="n"/>
      <c r="BK16" s="56" t="n"/>
      <c r="BL16" s="56" t="n"/>
      <c r="BM16" s="56" t="n"/>
      <c r="BN16" s="56" t="n"/>
      <c r="BO16" s="56" t="n"/>
      <c r="BP16" s="56" t="n"/>
      <c r="BQ16" s="56" t="n"/>
      <c r="BR16" s="56" t="n"/>
      <c r="BS16" s="56" t="n"/>
      <c r="BT16" s="56" t="n"/>
      <c r="BU16" s="56" t="n"/>
      <c r="BV16" s="56" t="n"/>
      <c r="BW16" s="56" t="n"/>
      <c r="BX16" s="56" t="n"/>
      <c r="BY16" s="56" t="n"/>
      <c r="BZ16" s="56" t="n"/>
      <c r="CA16" s="56" t="n"/>
      <c r="CB16" s="56" t="n"/>
      <c r="CC16" s="56" t="n"/>
      <c r="CD16" s="56" t="n"/>
      <c r="CE16" s="56" t="n"/>
      <c r="CF16" s="56" t="n"/>
      <c r="CG16" s="56" t="n"/>
      <c r="CH16" s="56" t="n"/>
      <c r="CI16" s="56" t="n"/>
      <c r="CJ16" s="56" t="n"/>
      <c r="CK16" s="56" t="n"/>
      <c r="CL16" s="56" t="n"/>
      <c r="CM16" s="56" t="n"/>
      <c r="CN16" s="56" t="n"/>
      <c r="CO16" s="56" t="n"/>
      <c r="CP16" s="56" t="n"/>
      <c r="CQ16" s="56" t="n"/>
      <c r="CR16" s="56" t="n"/>
      <c r="CS16" s="56" t="n"/>
      <c r="CT16" s="56" t="n"/>
      <c r="CU16" s="56" t="n"/>
      <c r="CV16" s="56" t="n"/>
      <c r="CW16" s="56" t="n"/>
      <c r="CX16" s="56" t="n"/>
      <c r="CY16" s="56" t="n"/>
      <c r="CZ16" s="56" t="n"/>
      <c r="DA16" s="56" t="n"/>
      <c r="DB16" s="56" t="n"/>
      <c r="DC16" s="56" t="n"/>
      <c r="DD16" s="56" t="n"/>
      <c r="DE16" s="56" t="n"/>
      <c r="DF16" s="56" t="n"/>
      <c r="DG16" s="56" t="n"/>
      <c r="DH16" s="56" t="n"/>
      <c r="DI16" s="56" t="n"/>
      <c r="DJ16" s="56" t="n"/>
      <c r="DK16" s="56" t="n"/>
      <c r="DL16" s="56" t="n"/>
      <c r="DM16" s="56" t="n"/>
      <c r="DN16" s="56" t="n"/>
      <c r="DO16" s="56" t="n"/>
      <c r="DP16" s="56" t="n"/>
      <c r="DQ16" s="56" t="n"/>
      <c r="DR16" s="56" t="n"/>
      <c r="DS16" s="56" t="n"/>
      <c r="DT16" s="56" t="n"/>
      <c r="DU16" s="56" t="n"/>
      <c r="DV16" s="56" t="n"/>
      <c r="DW16" s="56" t="n"/>
      <c r="DX16" s="56" t="n"/>
      <c r="DY16" s="56" t="n"/>
      <c r="DZ16" s="56" t="n"/>
      <c r="EA16" s="56" t="n"/>
      <c r="EB16" s="56" t="n"/>
      <c r="EC16" s="56" t="n"/>
    </row>
    <row r="17" ht="120" customFormat="1" customHeight="1" s="46">
      <c r="A17" s="46" t="inlineStr">
        <is>
          <t>EPIC-007</t>
        </is>
      </c>
      <c r="B17" s="46" t="inlineStr">
        <is>
          <t>Customer Account Management</t>
        </is>
      </c>
      <c r="C17" s="57" t="inlineStr">
        <is>
          <t>As a customer, I want to manage my account profile so that I can update my information, view order history, and manage preferences.</t>
        </is>
      </c>
      <c r="D17" s="57" t="inlineStr">
        <is>
          <t>1. View and edit personal information
2. Manage multiple shipping/billing addresses
3. View complete order history
4. Track current orders in real-time
5. Manage wishlist/favorites
6. Set communication preferences
7. View and manage saved payment methods (tokenized)
8. Download invoices/receipts
9. Account deletion option (GDPR compliance)</t>
        </is>
      </c>
      <c r="E17" s="46" t="n">
        <v>2</v>
      </c>
      <c r="F17" s="46" t="n">
        <v>3</v>
      </c>
      <c r="G17" s="46" t="inlineStr">
        <is>
          <t>Development Team</t>
        </is>
      </c>
      <c r="H17" s="56" t="n"/>
      <c r="I17" s="56" t="n"/>
      <c r="J17" s="56" t="n"/>
      <c r="K17" s="56" t="n"/>
      <c r="L17" s="56" t="n"/>
      <c r="M17" s="56" t="n"/>
      <c r="N17" s="56" t="n"/>
      <c r="O17" s="56" t="n"/>
      <c r="P17" s="56" t="n"/>
      <c r="Q17" s="56" t="n"/>
      <c r="R17" s="56" t="n"/>
      <c r="S17" s="56" t="n"/>
      <c r="T17" s="56" t="n"/>
      <c r="U17" s="56" t="n"/>
      <c r="V17" s="56" t="n"/>
      <c r="W17" s="56" t="n"/>
      <c r="X17" s="56" t="n"/>
      <c r="Y17" s="56" t="n"/>
      <c r="Z17" s="56" t="n"/>
      <c r="AA17" s="56" t="n"/>
      <c r="AB17" s="56" t="n"/>
      <c r="AC17" s="56" t="n"/>
      <c r="AD17" s="56" t="n"/>
      <c r="AE17" s="56" t="n"/>
      <c r="AF17" s="56" t="n"/>
      <c r="AG17" s="56" t="n"/>
      <c r="AH17" s="56" t="n"/>
      <c r="AI17" s="56" t="n"/>
      <c r="AJ17" s="56" t="n"/>
      <c r="AK17" s="56" t="n"/>
      <c r="AL17" s="56" t="n"/>
      <c r="AM17" s="56" t="n"/>
      <c r="AN17" s="56" t="n"/>
      <c r="AO17" s="56" t="n"/>
      <c r="AP17" s="56" t="n"/>
      <c r="AQ17" s="56" t="n"/>
      <c r="AR17" s="56" t="n"/>
      <c r="AS17" s="56" t="n"/>
      <c r="AT17" s="56" t="n"/>
      <c r="AU17" s="56" t="n"/>
      <c r="AV17" s="56" t="n"/>
      <c r="AW17" s="56" t="n"/>
      <c r="AX17" s="56" t="n"/>
      <c r="AY17" s="56" t="n"/>
      <c r="AZ17" s="56" t="n"/>
      <c r="BA17" s="56" t="n"/>
      <c r="BB17" s="56" t="n"/>
      <c r="BC17" s="56" t="n"/>
      <c r="BD17" s="56" t="n"/>
      <c r="BE17" s="56" t="n"/>
      <c r="BF17" s="56" t="n"/>
      <c r="BG17" s="56" t="n"/>
      <c r="BH17" s="56" t="n"/>
      <c r="BI17" s="56" t="n"/>
      <c r="BJ17" s="56" t="n"/>
      <c r="BK17" s="56" t="n"/>
      <c r="BL17" s="56" t="n"/>
      <c r="BM17" s="56" t="n"/>
      <c r="BN17" s="56" t="n"/>
      <c r="BO17" s="56" t="n"/>
      <c r="BP17" s="56" t="n"/>
      <c r="BQ17" s="56" t="n"/>
      <c r="BR17" s="56" t="n"/>
      <c r="BS17" s="56" t="n"/>
      <c r="BT17" s="56" t="n"/>
      <c r="BU17" s="56" t="n"/>
      <c r="BV17" s="56" t="n"/>
      <c r="BW17" s="56" t="n"/>
      <c r="BX17" s="56" t="n"/>
      <c r="BY17" s="56" t="n"/>
      <c r="BZ17" s="56" t="n"/>
      <c r="CA17" s="56" t="n"/>
      <c r="CB17" s="56" t="n"/>
      <c r="CC17" s="56" t="n"/>
      <c r="CD17" s="56" t="n"/>
      <c r="CE17" s="56" t="n"/>
      <c r="CF17" s="56" t="n"/>
      <c r="CG17" s="56" t="n"/>
      <c r="CH17" s="56" t="n"/>
      <c r="CI17" s="56" t="n"/>
      <c r="CJ17" s="56" t="n"/>
      <c r="CK17" s="56" t="n"/>
      <c r="CL17" s="56" t="n"/>
      <c r="CM17" s="56" t="n"/>
      <c r="CN17" s="56" t="n"/>
      <c r="CO17" s="56" t="n"/>
      <c r="CP17" s="56" t="n"/>
      <c r="CQ17" s="56" t="n"/>
      <c r="CR17" s="56" t="n"/>
      <c r="CS17" s="56" t="n"/>
      <c r="CT17" s="56" t="n"/>
      <c r="CU17" s="56" t="n"/>
      <c r="CV17" s="56" t="n"/>
      <c r="CW17" s="56" t="n"/>
      <c r="CX17" s="56" t="n"/>
      <c r="CY17" s="56" t="n"/>
      <c r="CZ17" s="56" t="n"/>
      <c r="DA17" s="56" t="n"/>
      <c r="DB17" s="56" t="n"/>
      <c r="DC17" s="56" t="n"/>
      <c r="DD17" s="56" t="n"/>
      <c r="DE17" s="56" t="n"/>
      <c r="DF17" s="56" t="n"/>
      <c r="DG17" s="56" t="n"/>
      <c r="DH17" s="56" t="n"/>
      <c r="DI17" s="56" t="n"/>
      <c r="DJ17" s="56" t="n"/>
      <c r="DK17" s="56" t="n"/>
      <c r="DL17" s="56" t="n"/>
      <c r="DM17" s="56" t="n"/>
      <c r="DN17" s="56" t="n"/>
      <c r="DO17" s="56" t="n"/>
      <c r="DP17" s="56" t="n"/>
      <c r="DQ17" s="56" t="n"/>
      <c r="DR17" s="56" t="n"/>
      <c r="DS17" s="56" t="n"/>
      <c r="DT17" s="56" t="n"/>
      <c r="DU17" s="56" t="n"/>
      <c r="DV17" s="56" t="n"/>
      <c r="DW17" s="56" t="n"/>
      <c r="DX17" s="56" t="n"/>
      <c r="DY17" s="56" t="n"/>
      <c r="DZ17" s="56" t="n"/>
      <c r="EA17" s="56" t="n"/>
      <c r="EB17" s="56" t="n"/>
      <c r="EC17" s="56" t="n"/>
    </row>
    <row r="18" ht="107.25" customFormat="1" customHeight="1" s="46">
      <c r="A18" s="46" t="inlineStr">
        <is>
          <t>EPIC-008</t>
        </is>
      </c>
      <c r="B18" s="46" t="inlineStr">
        <is>
          <t>Book Reviews &amp; Ratings System</t>
        </is>
      </c>
      <c r="C18" s="57" t="inlineStr">
        <is>
          <t>As a customer, I want to read and write book reviews so that I can make informed purchasing decisions and share my opinions with other readers.</t>
        </is>
      </c>
      <c r="D18" s="57" t="inlineStr">
        <is>
          <t>1. Submit star ratings (1-5) for purchased books
2. Write text reviews with character limit
3. Edit or delete own reviews
4. View average ratings and total review count
5. Sort reviews by date, rating, helpfulness
6. Mark reviews as helpful
7. Admin moderation of inappropriate content
8. Verified purchase badge on reviews</t>
        </is>
      </c>
      <c r="E18" s="46" t="n">
        <v>3</v>
      </c>
      <c r="F18" s="46" t="n">
        <v>3</v>
      </c>
      <c r="G18" s="46" t="inlineStr">
        <is>
          <t>Development Team</t>
        </is>
      </c>
      <c r="H18" s="56" t="n"/>
      <c r="I18" s="56" t="n"/>
      <c r="J18" s="56" t="n"/>
      <c r="K18" s="56" t="n"/>
      <c r="L18" s="56" t="n"/>
      <c r="M18" s="56" t="n"/>
      <c r="N18" s="56" t="n"/>
      <c r="O18" s="56" t="n"/>
      <c r="P18" s="56" t="n"/>
      <c r="Q18" s="56" t="n"/>
      <c r="R18" s="56" t="n"/>
      <c r="S18" s="56" t="n"/>
      <c r="T18" s="56" t="n"/>
      <c r="U18" s="56" t="n"/>
      <c r="V18" s="56" t="n"/>
      <c r="W18" s="56" t="n"/>
      <c r="X18" s="56" t="n"/>
      <c r="Y18" s="56" t="n"/>
      <c r="Z18" s="56" t="n"/>
      <c r="AA18" s="56" t="n"/>
      <c r="AB18" s="56" t="n"/>
      <c r="AC18" s="56" t="n"/>
      <c r="AD18" s="56" t="n"/>
      <c r="AE18" s="56" t="n"/>
      <c r="AF18" s="56" t="n"/>
      <c r="AG18" s="56" t="n"/>
      <c r="AH18" s="56" t="n"/>
      <c r="AI18" s="56" t="n"/>
      <c r="AJ18" s="56" t="n"/>
      <c r="AK18" s="56" t="n"/>
      <c r="AL18" s="56" t="n"/>
      <c r="AM18" s="56" t="n"/>
      <c r="AN18" s="56" t="n"/>
      <c r="AO18" s="56" t="n"/>
      <c r="AP18" s="56" t="n"/>
      <c r="AQ18" s="56" t="n"/>
      <c r="AR18" s="56" t="n"/>
      <c r="AS18" s="56" t="n"/>
      <c r="AT18" s="56" t="n"/>
      <c r="AU18" s="56" t="n"/>
      <c r="AV18" s="56" t="n"/>
      <c r="AW18" s="56" t="n"/>
      <c r="AX18" s="56" t="n"/>
      <c r="AY18" s="56" t="n"/>
      <c r="AZ18" s="56" t="n"/>
      <c r="BA18" s="56" t="n"/>
      <c r="BB18" s="56" t="n"/>
      <c r="BC18" s="56" t="n"/>
      <c r="BD18" s="56" t="n"/>
      <c r="BE18" s="56" t="n"/>
      <c r="BF18" s="56" t="n"/>
      <c r="BG18" s="56" t="n"/>
      <c r="BH18" s="56" t="n"/>
      <c r="BI18" s="56" t="n"/>
      <c r="BJ18" s="56" t="n"/>
      <c r="BK18" s="56" t="n"/>
      <c r="BL18" s="56" t="n"/>
      <c r="BM18" s="56" t="n"/>
      <c r="BN18" s="56" t="n"/>
      <c r="BO18" s="56" t="n"/>
      <c r="BP18" s="56" t="n"/>
      <c r="BQ18" s="56" t="n"/>
      <c r="BR18" s="56" t="n"/>
      <c r="BS18" s="56" t="n"/>
      <c r="BT18" s="56" t="n"/>
      <c r="BU18" s="56" t="n"/>
      <c r="BV18" s="56" t="n"/>
      <c r="BW18" s="56" t="n"/>
      <c r="BX18" s="56" t="n"/>
      <c r="BY18" s="56" t="n"/>
      <c r="BZ18" s="56" t="n"/>
      <c r="CA18" s="56" t="n"/>
      <c r="CB18" s="56" t="n"/>
      <c r="CC18" s="56" t="n"/>
      <c r="CD18" s="56" t="n"/>
      <c r="CE18" s="56" t="n"/>
      <c r="CF18" s="56" t="n"/>
      <c r="CG18" s="56" t="n"/>
      <c r="CH18" s="56" t="n"/>
      <c r="CI18" s="56" t="n"/>
      <c r="CJ18" s="56" t="n"/>
      <c r="CK18" s="56" t="n"/>
      <c r="CL18" s="56" t="n"/>
      <c r="CM18" s="56" t="n"/>
      <c r="CN18" s="56" t="n"/>
      <c r="CO18" s="56" t="n"/>
      <c r="CP18" s="56" t="n"/>
      <c r="CQ18" s="56" t="n"/>
      <c r="CR18" s="56" t="n"/>
      <c r="CS18" s="56" t="n"/>
      <c r="CT18" s="56" t="n"/>
      <c r="CU18" s="56" t="n"/>
      <c r="CV18" s="56" t="n"/>
      <c r="CW18" s="56" t="n"/>
      <c r="CX18" s="56" t="n"/>
      <c r="CY18" s="56" t="n"/>
      <c r="CZ18" s="56" t="n"/>
      <c r="DA18" s="56" t="n"/>
      <c r="DB18" s="56" t="n"/>
      <c r="DC18" s="56" t="n"/>
      <c r="DD18" s="56" t="n"/>
      <c r="DE18" s="56" t="n"/>
      <c r="DF18" s="56" t="n"/>
      <c r="DG18" s="56" t="n"/>
      <c r="DH18" s="56" t="n"/>
      <c r="DI18" s="56" t="n"/>
      <c r="DJ18" s="56" t="n"/>
      <c r="DK18" s="56" t="n"/>
      <c r="DL18" s="56" t="n"/>
      <c r="DM18" s="56" t="n"/>
      <c r="DN18" s="56" t="n"/>
      <c r="DO18" s="56" t="n"/>
      <c r="DP18" s="56" t="n"/>
      <c r="DQ18" s="56" t="n"/>
      <c r="DR18" s="56" t="n"/>
      <c r="DS18" s="56" t="n"/>
      <c r="DT18" s="56" t="n"/>
      <c r="DU18" s="56" t="n"/>
      <c r="DV18" s="56" t="n"/>
      <c r="DW18" s="56" t="n"/>
      <c r="DX18" s="56" t="n"/>
      <c r="DY18" s="56" t="n"/>
      <c r="DZ18" s="56" t="n"/>
      <c r="EA18" s="56" t="n"/>
      <c r="EB18" s="56" t="n"/>
      <c r="EC18" s="56" t="n"/>
    </row>
    <row r="19" ht="120" customFormat="1" customHeight="1" s="46">
      <c r="A19" s="46" t="inlineStr">
        <is>
          <t>EPIC-009</t>
        </is>
      </c>
      <c r="B19" s="46" t="inlineStr">
        <is>
          <t>Reporting &amp; Business Analytics</t>
        </is>
      </c>
      <c r="C19" s="57" t="inlineStr">
        <is>
          <t>As a store manager, I want to access reports and analytics so that I can make data-driven business decisions and monitor store performance.</t>
        </is>
      </c>
      <c r="D19" s="57" t="inlineStr">
        <is>
          <t>1. Sales reports by period, category, author
2. Inventory reports with stock levels and turnover
3. Customer analytics (demographics, behavior)
4. Revenue and profit margin reports
5. Best-selling books reports
6. Export reports to PDF, Excel, CSV
7. Dashboard with key performance indicators
8. Customizable date ranges for all reports
9. Scheduled automated report generation</t>
        </is>
      </c>
      <c r="E19" s="46" t="n">
        <v>2</v>
      </c>
      <c r="F19" s="46" t="n">
        <v>4</v>
      </c>
      <c r="G19" s="46" t="inlineStr">
        <is>
          <t>Development Team</t>
        </is>
      </c>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n"/>
      <c r="AS19" s="56" t="n"/>
      <c r="AT19" s="56" t="n"/>
      <c r="AU19" s="56" t="n"/>
      <c r="AV19" s="56" t="n"/>
      <c r="AW19" s="56" t="n"/>
      <c r="AX19" s="56" t="n"/>
      <c r="AY19" s="56" t="n"/>
      <c r="AZ19" s="56" t="n"/>
      <c r="BA19" s="56" t="n"/>
      <c r="BB19" s="56" t="n"/>
      <c r="BC19" s="56" t="n"/>
      <c r="BD19" s="56" t="n"/>
      <c r="BE19" s="56" t="n"/>
      <c r="BF19" s="56" t="n"/>
      <c r="BG19" s="56" t="n"/>
      <c r="BH19" s="56" t="n"/>
      <c r="BI19" s="56" t="n"/>
      <c r="BJ19" s="56" t="n"/>
      <c r="BK19" s="56" t="n"/>
      <c r="BL19" s="56" t="n"/>
      <c r="BM19" s="56" t="n"/>
      <c r="BN19" s="56" t="n"/>
      <c r="BO19" s="56" t="n"/>
      <c r="BP19" s="56" t="n"/>
      <c r="BQ19" s="56" t="n"/>
      <c r="BR19" s="56" t="n"/>
      <c r="BS19" s="56" t="n"/>
      <c r="BT19" s="56" t="n"/>
      <c r="BU19" s="56" t="n"/>
      <c r="BV19" s="56" t="n"/>
      <c r="BW19" s="56" t="n"/>
      <c r="BX19" s="56" t="n"/>
      <c r="BY19" s="56" t="n"/>
      <c r="BZ19" s="56" t="n"/>
      <c r="CA19" s="56" t="n"/>
      <c r="CB19" s="56" t="n"/>
      <c r="CC19" s="56" t="n"/>
      <c r="CD19" s="56" t="n"/>
      <c r="CE19" s="56" t="n"/>
      <c r="CF19" s="56" t="n"/>
      <c r="CG19" s="56" t="n"/>
      <c r="CH19" s="56" t="n"/>
      <c r="CI19" s="56" t="n"/>
      <c r="CJ19" s="56" t="n"/>
      <c r="CK19" s="56" t="n"/>
      <c r="CL19" s="56" t="n"/>
      <c r="CM19" s="56" t="n"/>
      <c r="CN19" s="56" t="n"/>
      <c r="CO19" s="56" t="n"/>
      <c r="CP19" s="56" t="n"/>
      <c r="CQ19" s="56" t="n"/>
      <c r="CR19" s="56" t="n"/>
      <c r="CS19" s="56" t="n"/>
      <c r="CT19" s="56" t="n"/>
      <c r="CU19" s="56" t="n"/>
      <c r="CV19" s="56" t="n"/>
      <c r="CW19" s="56" t="n"/>
      <c r="CX19" s="56" t="n"/>
      <c r="CY19" s="56" t="n"/>
      <c r="CZ19" s="56" t="n"/>
      <c r="DA19" s="56" t="n"/>
      <c r="DB19" s="56" t="n"/>
      <c r="DC19" s="56" t="n"/>
      <c r="DD19" s="56" t="n"/>
      <c r="DE19" s="56" t="n"/>
      <c r="DF19" s="56" t="n"/>
      <c r="DG19" s="56" t="n"/>
      <c r="DH19" s="56" t="n"/>
      <c r="DI19" s="56" t="n"/>
      <c r="DJ19" s="56" t="n"/>
      <c r="DK19" s="56" t="n"/>
      <c r="DL19" s="56" t="n"/>
      <c r="DM19" s="56" t="n"/>
      <c r="DN19" s="56" t="n"/>
      <c r="DO19" s="56" t="n"/>
      <c r="DP19" s="56" t="n"/>
      <c r="DQ19" s="56" t="n"/>
      <c r="DR19" s="56" t="n"/>
      <c r="DS19" s="56" t="n"/>
      <c r="DT19" s="56" t="n"/>
      <c r="DU19" s="56" t="n"/>
      <c r="DV19" s="56" t="n"/>
      <c r="DW19" s="56" t="n"/>
      <c r="DX19" s="56" t="n"/>
      <c r="DY19" s="56" t="n"/>
      <c r="DZ19" s="56" t="n"/>
      <c r="EA19" s="56" t="n"/>
      <c r="EB19" s="56" t="n"/>
      <c r="EC19" s="56" t="n"/>
    </row>
    <row r="20" ht="133.5" customFormat="1" customHeight="1" s="46">
      <c r="A20" s="58" t="inlineStr">
        <is>
          <t>EPIC-010</t>
        </is>
      </c>
      <c r="B20" s="58" t="inlineStr">
        <is>
          <t>Security &amp; Data Protection</t>
        </is>
      </c>
      <c r="C20" s="59" t="inlineStr">
        <is>
          <t>As a system administrator, I want to ensure comprehensive security measures so that customer data is protected and the system is secure from threats.</t>
        </is>
      </c>
      <c r="D20" s="59" t="inlineStr">
        <is>
          <t>1. Role-based access control (RBAC) implemented
2. All sensitive data encrypted at rest and in transit
3. Regular automated security vulnerability scanning
4. Audit logs for all administrative actions
5. IP-based access restrictions for admin panel
6. Two-factor authentication (2FA) for admin accounts
7. Regular automated backups with encryption
8. GDPR and data privacy compliance
9. SQL injection and XSS prevention measures
10. Rate limiting to prevent DDoS attacks</t>
        </is>
      </c>
      <c r="E20" s="58" t="n">
        <v>1</v>
      </c>
      <c r="F20" s="58" t="n">
        <v>1</v>
      </c>
      <c r="G20" s="58" t="inlineStr">
        <is>
          <t>Nathan Horstmeier (T1-012, T1-013)</t>
        </is>
      </c>
      <c r="H20" s="56" t="n"/>
      <c r="I20" s="56" t="n"/>
      <c r="J20" s="56" t="n"/>
      <c r="K20" s="56" t="n"/>
      <c r="L20" s="56" t="n"/>
      <c r="M20" s="56" t="n"/>
      <c r="N20" s="56" t="n"/>
      <c r="O20" s="56" t="n"/>
      <c r="P20" s="56" t="n"/>
      <c r="Q20" s="56" t="n"/>
      <c r="R20" s="56" t="n"/>
      <c r="S20" s="56" t="n"/>
      <c r="T20" s="56" t="n"/>
      <c r="U20" s="56" t="n"/>
      <c r="V20" s="56" t="n"/>
      <c r="W20" s="56" t="n"/>
      <c r="X20" s="56" t="n"/>
      <c r="Y20" s="56" t="n"/>
      <c r="Z20" s="56" t="n"/>
      <c r="AA20" s="56" t="n"/>
      <c r="AB20" s="56" t="n"/>
      <c r="AC20" s="56" t="n"/>
      <c r="AD20" s="56" t="n"/>
      <c r="AE20" s="56" t="n"/>
      <c r="AF20" s="56" t="n"/>
      <c r="AG20" s="56" t="n"/>
      <c r="AH20" s="56" t="n"/>
      <c r="AI20" s="56" t="n"/>
      <c r="AJ20" s="56" t="n"/>
      <c r="AK20" s="56" t="n"/>
      <c r="AL20" s="56" t="n"/>
      <c r="AM20" s="56" t="n"/>
      <c r="AN20" s="56" t="n"/>
      <c r="AO20" s="56" t="n"/>
      <c r="AP20" s="56" t="n"/>
      <c r="AQ20" s="56" t="n"/>
      <c r="AR20" s="56" t="n"/>
      <c r="AS20" s="56" t="n"/>
      <c r="AT20" s="56" t="n"/>
      <c r="AU20" s="56" t="n"/>
      <c r="AV20" s="56" t="n"/>
      <c r="AW20" s="56" t="n"/>
      <c r="AX20" s="56" t="n"/>
      <c r="AY20" s="56" t="n"/>
      <c r="AZ20" s="56" t="n"/>
      <c r="BA20" s="56" t="n"/>
      <c r="BB20" s="56" t="n"/>
      <c r="BC20" s="56" t="n"/>
      <c r="BD20" s="56" t="n"/>
      <c r="BE20" s="56" t="n"/>
      <c r="BF20" s="56" t="n"/>
      <c r="BG20" s="56" t="n"/>
      <c r="BH20" s="56" t="n"/>
      <c r="BI20" s="56" t="n"/>
      <c r="BJ20" s="56" t="n"/>
      <c r="BK20" s="56" t="n"/>
      <c r="BL20" s="56" t="n"/>
      <c r="BM20" s="56" t="n"/>
      <c r="BN20" s="56" t="n"/>
      <c r="BO20" s="56" t="n"/>
      <c r="BP20" s="56" t="n"/>
      <c r="BQ20" s="56" t="n"/>
      <c r="BR20" s="56" t="n"/>
      <c r="BS20" s="56" t="n"/>
      <c r="BT20" s="56" t="n"/>
      <c r="BU20" s="56" t="n"/>
      <c r="BV20" s="56" t="n"/>
      <c r="BW20" s="56" t="n"/>
      <c r="BX20" s="56" t="n"/>
      <c r="BY20" s="56" t="n"/>
      <c r="BZ20" s="56" t="n"/>
      <c r="CA20" s="56" t="n"/>
      <c r="CB20" s="56" t="n"/>
      <c r="CC20" s="56" t="n"/>
      <c r="CD20" s="56" t="n"/>
      <c r="CE20" s="56" t="n"/>
      <c r="CF20" s="56" t="n"/>
      <c r="CG20" s="56" t="n"/>
      <c r="CH20" s="56" t="n"/>
      <c r="CI20" s="56" t="n"/>
      <c r="CJ20" s="56" t="n"/>
      <c r="CK20" s="56" t="n"/>
      <c r="CL20" s="56" t="n"/>
      <c r="CM20" s="56" t="n"/>
      <c r="CN20" s="56" t="n"/>
      <c r="CO20" s="56" t="n"/>
      <c r="CP20" s="56" t="n"/>
      <c r="CQ20" s="56" t="n"/>
      <c r="CR20" s="56" t="n"/>
      <c r="CS20" s="56" t="n"/>
      <c r="CT20" s="56" t="n"/>
      <c r="CU20" s="56" t="n"/>
      <c r="CV20" s="56" t="n"/>
      <c r="CW20" s="56" t="n"/>
      <c r="CX20" s="56" t="n"/>
      <c r="CY20" s="56" t="n"/>
      <c r="CZ20" s="56" t="n"/>
      <c r="DA20" s="56" t="n"/>
      <c r="DB20" s="56" t="n"/>
      <c r="DC20" s="56" t="n"/>
      <c r="DD20" s="56" t="n"/>
      <c r="DE20" s="56" t="n"/>
      <c r="DF20" s="56" t="n"/>
      <c r="DG20" s="56" t="n"/>
      <c r="DH20" s="56" t="n"/>
      <c r="DI20" s="56" t="n"/>
      <c r="DJ20" s="56" t="n"/>
      <c r="DK20" s="56" t="n"/>
      <c r="DL20" s="56" t="n"/>
      <c r="DM20" s="56" t="n"/>
      <c r="DN20" s="56" t="n"/>
      <c r="DO20" s="56" t="n"/>
      <c r="DP20" s="56" t="n"/>
      <c r="DQ20" s="56" t="n"/>
      <c r="DR20" s="56" t="n"/>
      <c r="DS20" s="56" t="n"/>
      <c r="DT20" s="56" t="n"/>
      <c r="DU20" s="56" t="n"/>
      <c r="DV20" s="56" t="n"/>
      <c r="DW20" s="56" t="n"/>
      <c r="DX20" s="56" t="n"/>
      <c r="DY20" s="56" t="n"/>
      <c r="DZ20" s="56" t="n"/>
      <c r="EA20" s="56" t="n"/>
      <c r="EB20" s="56" t="n"/>
      <c r="EC20" s="56" t="n"/>
    </row>
    <row r="21" ht="107.25" customFormat="1" customHeight="1" s="46">
      <c r="A21" s="58" t="inlineStr">
        <is>
          <t>EPIC-011</t>
        </is>
      </c>
      <c r="B21" s="58" t="inlineStr">
        <is>
          <t>Notifications &amp; Communication System</t>
        </is>
      </c>
      <c r="C21" s="59" t="inlineStr">
        <is>
          <t>As a customer, I want to receive relevant notifications so that I stay informed about my orders, promotions, and new arrivals.</t>
        </is>
      </c>
      <c r="D21" s="59" t="inlineStr">
        <is>
          <t>1. Email notifications for order confirmations, shipping, delivery
2. Promotional email campaigns with opt-in/opt-out
3. New arrival notifications for favorite categories/authors
4. Back-in-stock notifications
5. Price drop alerts for wishlist items
6. SMS notifications option for order updates
7. In-app notification center
8. Unsubscribe option in all communications</t>
        </is>
      </c>
      <c r="E21" s="58" t="n">
        <v>3</v>
      </c>
      <c r="F21" s="58" t="n">
        <v>4</v>
      </c>
      <c r="G21" s="58" t="inlineStr">
        <is>
          <t>Development Team</t>
        </is>
      </c>
      <c r="H21" s="56" t="n"/>
      <c r="I21" s="56" t="n"/>
      <c r="J21" s="56" t="n"/>
      <c r="K21" s="56" t="n"/>
      <c r="L21" s="56" t="n"/>
      <c r="M21" s="56" t="n"/>
      <c r="N21" s="56" t="n"/>
      <c r="O21" s="56" t="n"/>
      <c r="P21" s="56" t="n"/>
      <c r="Q21" s="56" t="n"/>
      <c r="R21" s="56" t="n"/>
      <c r="S21" s="56" t="n"/>
      <c r="T21" s="56" t="n"/>
      <c r="U21" s="56" t="n"/>
      <c r="V21" s="56" t="n"/>
      <c r="W21" s="56" t="n"/>
      <c r="X21" s="56" t="n"/>
      <c r="Y21" s="56" t="n"/>
      <c r="Z21" s="56" t="n"/>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n"/>
      <c r="AW21" s="56" t="n"/>
      <c r="AX21" s="56" t="n"/>
      <c r="AY21" s="56" t="n"/>
      <c r="AZ21" s="56" t="n"/>
      <c r="BA21" s="56" t="n"/>
      <c r="BB21" s="56" t="n"/>
      <c r="BC21" s="56" t="n"/>
      <c r="BD21" s="56" t="n"/>
      <c r="BE21" s="56" t="n"/>
      <c r="BF21" s="56" t="n"/>
      <c r="BG21" s="56" t="n"/>
      <c r="BH21" s="56" t="n"/>
      <c r="BI21" s="56" t="n"/>
      <c r="BJ21" s="56" t="n"/>
      <c r="BK21" s="56" t="n"/>
      <c r="BL21" s="56" t="n"/>
      <c r="BM21" s="56" t="n"/>
      <c r="BN21" s="56" t="n"/>
      <c r="BO21" s="56" t="n"/>
      <c r="BP21" s="56" t="n"/>
      <c r="BQ21" s="56" t="n"/>
      <c r="BR21" s="56" t="n"/>
      <c r="BS21" s="56" t="n"/>
      <c r="BT21" s="56" t="n"/>
      <c r="BU21" s="56" t="n"/>
      <c r="BV21" s="56" t="n"/>
      <c r="BW21" s="56" t="n"/>
      <c r="BX21" s="56" t="n"/>
      <c r="BY21" s="56" t="n"/>
      <c r="BZ21" s="56" t="n"/>
      <c r="CA21" s="56" t="n"/>
      <c r="CB21" s="56" t="n"/>
      <c r="CC21" s="56" t="n"/>
      <c r="CD21" s="56" t="n"/>
      <c r="CE21" s="56" t="n"/>
      <c r="CF21" s="56" t="n"/>
      <c r="CG21" s="56" t="n"/>
      <c r="CH21" s="56" t="n"/>
      <c r="CI21" s="56" t="n"/>
      <c r="CJ21" s="56" t="n"/>
      <c r="CK21" s="56" t="n"/>
      <c r="CL21" s="56" t="n"/>
      <c r="CM21" s="56" t="n"/>
      <c r="CN21" s="56" t="n"/>
      <c r="CO21" s="56" t="n"/>
      <c r="CP21" s="56" t="n"/>
      <c r="CQ21" s="56" t="n"/>
      <c r="CR21" s="56" t="n"/>
      <c r="CS21" s="56" t="n"/>
      <c r="CT21" s="56" t="n"/>
      <c r="CU21" s="56" t="n"/>
      <c r="CV21" s="56" t="n"/>
      <c r="CW21" s="56" t="n"/>
      <c r="CX21" s="56" t="n"/>
      <c r="CY21" s="56" t="n"/>
      <c r="CZ21" s="56" t="n"/>
      <c r="DA21" s="56" t="n"/>
      <c r="DB21" s="56" t="n"/>
      <c r="DC21" s="56" t="n"/>
      <c r="DD21" s="56" t="n"/>
      <c r="DE21" s="56" t="n"/>
      <c r="DF21" s="56" t="n"/>
      <c r="DG21" s="56" t="n"/>
      <c r="DH21" s="56" t="n"/>
      <c r="DI21" s="56" t="n"/>
      <c r="DJ21" s="56" t="n"/>
      <c r="DK21" s="56" t="n"/>
      <c r="DL21" s="56" t="n"/>
      <c r="DM21" s="56" t="n"/>
      <c r="DN21" s="56" t="n"/>
      <c r="DO21" s="56" t="n"/>
      <c r="DP21" s="56" t="n"/>
      <c r="DQ21" s="56" t="n"/>
      <c r="DR21" s="56" t="n"/>
      <c r="DS21" s="56" t="n"/>
      <c r="DT21" s="56" t="n"/>
      <c r="DU21" s="56" t="n"/>
      <c r="DV21" s="56" t="n"/>
      <c r="DW21" s="56" t="n"/>
      <c r="DX21" s="56" t="n"/>
      <c r="DY21" s="56" t="n"/>
      <c r="DZ21" s="56" t="n"/>
      <c r="EA21" s="56" t="n"/>
      <c r="EB21" s="56" t="n"/>
      <c r="EC21" s="56" t="n"/>
    </row>
    <row r="22" ht="120" customHeight="1" s="172">
      <c r="A22" s="58" t="inlineStr">
        <is>
          <t>EPIC-012</t>
        </is>
      </c>
      <c r="B22" s="58" t="inlineStr">
        <is>
          <t>Administrative Dashboard</t>
        </is>
      </c>
      <c r="C22" s="59" t="inlineStr">
        <is>
          <t>As an administrator, I want a centralized dashboard so that I can efficiently manage all aspects of the bookstore operations.</t>
        </is>
      </c>
      <c r="D22" s="59" t="inlineStr">
        <is>
          <t>1. Overview of daily/weekly/monthly sales
2. Pending orders requiring attention
3. Low stock alerts prominently displayed
4. Recent customer activity feed
5. Quick access to all management modules
6. System health and performance metrics
7. User management capabilities
8. Content management for banners/promotions
9. Responsive design for mobile access</t>
        </is>
      </c>
      <c r="E22" s="58" t="n">
        <v>2</v>
      </c>
      <c r="F22" s="58" t="n">
        <v>3</v>
      </c>
      <c r="G22" s="58" t="inlineStr">
        <is>
          <t>Development Team</t>
        </is>
      </c>
    </row>
    <row r="23" ht="107.25" customHeight="1" s="172">
      <c r="A23" s="58" t="inlineStr">
        <is>
          <t>EPIC-013</t>
        </is>
      </c>
      <c r="B23" s="58" t="inlineStr">
        <is>
          <t>Supplier &amp; Procurement Management</t>
        </is>
      </c>
      <c r="C23" s="59" t="inlineStr">
        <is>
          <t>As a store manager, I want to manage book suppliers so that I can efficiently restock inventory and maintain supplier relationships.</t>
        </is>
      </c>
      <c r="D23" s="59" t="inlineStr">
        <is>
          <t>1. Add/edit/remove supplier profiles
2. Track supplier contact information and terms
3. Create and manage purchase orders
4. Track order status from suppliers
5. Automated reorder suggestions based on stock levels
6. Supplier performance tracking
7. Invoice management and payment tracking
8. Historical purchase data for negotiation</t>
        </is>
      </c>
      <c r="E23" s="58" t="n">
        <v>3</v>
      </c>
      <c r="F23" s="58" t="n">
        <v>5</v>
      </c>
      <c r="G23" s="58" t="inlineStr">
        <is>
          <t>Development Team</t>
        </is>
      </c>
    </row>
    <row r="24" ht="107.25" customHeight="1" s="172">
      <c r="A24" s="58" t="inlineStr">
        <is>
          <t>EPIC-014</t>
        </is>
      </c>
      <c r="B24" s="58" t="inlineStr">
        <is>
          <t>Customer Loyalty &amp; Rewards Program</t>
        </is>
      </c>
      <c r="C24" s="59" t="inlineStr">
        <is>
          <t>As a customer, I want to participate in a loyalty program so that I can earn rewards and receive benefits for my continued patronage.</t>
        </is>
      </c>
      <c r="D24" s="59" t="inlineStr">
        <is>
          <t>1. Points earned based on purchase amount
2. Multiple reward tiers (Bronze, Silver, Gold, Platinum)
3. Points redemption for discounts
4. Exclusive member-only promotions
5. Birthday rewards
6. Referral bonus program
7. Points balance and history visible in account
8. Points expiration policy with notifications</t>
        </is>
      </c>
      <c r="E24" s="58" t="n">
        <v>3</v>
      </c>
      <c r="F24" s="58" t="n">
        <v>5</v>
      </c>
      <c r="G24" s="58" t="inlineStr">
        <is>
          <t>Development Team</t>
        </is>
      </c>
    </row>
    <row r="25" ht="107.25" customHeight="1" s="172">
      <c r="A25" s="58" t="inlineStr">
        <is>
          <t>EPIC-015</t>
        </is>
      </c>
      <c r="B25" s="58" t="inlineStr">
        <is>
          <t>Mobile-Responsive Design</t>
        </is>
      </c>
      <c r="C25" s="58" t="inlineStr">
        <is>
          <t>As a customer, I want to access the bookstore from any device so that I can browse and purchase books conveniently from my smartphone or tablet.</t>
        </is>
      </c>
      <c r="D25" s="59" t="inlineStr">
        <is>
          <t>1. Fully responsive design across all screen sizes
2. Touch-friendly navigation and buttons
3. Optimized images for mobile bandwidth
4. Mobile-specific features (tap to call, maps integration)
5. Fast loading times on mobile networks (&lt;3 seconds)
6. Consistent experience across iOS and Android browsers
7. Mobile checkout optimization
8. Progressive Web App (PWA) capabilities</t>
        </is>
      </c>
      <c r="E25" s="58" t="n">
        <v>2</v>
      </c>
      <c r="F25" s="58" t="n">
        <v>4</v>
      </c>
      <c r="G25" s="58" t="inlineStr">
        <is>
          <t>Development Team</t>
        </is>
      </c>
    </row>
    <row r="26">
      <c r="A26" s="46" t="n"/>
      <c r="B26" s="46" t="n"/>
      <c r="C26" s="46" t="n"/>
      <c r="D26" s="46" t="n"/>
      <c r="E26" s="46" t="n"/>
      <c r="F26" s="46" t="n"/>
      <c r="G26" s="46" t="n"/>
    </row>
    <row r="27">
      <c r="A27" s="39" t="n"/>
      <c r="E27" s="39" t="n"/>
    </row>
    <row r="28">
      <c r="A28" s="39" t="n"/>
      <c r="E28" s="39" t="n"/>
    </row>
    <row r="29">
      <c r="A29" s="39" t="n"/>
      <c r="E29" s="39" t="n"/>
    </row>
  </sheetData>
  <autoFilter ref="B1:F1"/>
  <mergeCells count="1">
    <mergeCell ref="A2:F2"/>
  </mergeCells>
  <pageMargins left="0.75" right="0.75" top="1" bottom="1" header="0.5" footer="0.5"/>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T49"/>
  <sheetViews>
    <sheetView topLeftCell="G1" workbookViewId="0">
      <selection activeCell="U2" sqref="U2"/>
    </sheetView>
  </sheetViews>
  <sheetFormatPr baseColWidth="8" defaultColWidth="11.4609375" defaultRowHeight="12.75"/>
  <cols>
    <col width="12.13671875" bestFit="1" customWidth="1" style="5" min="1" max="1"/>
    <col width="12.67578125" bestFit="1" customWidth="1" style="5" min="2" max="2"/>
    <col width="32.76953125" bestFit="1" customWidth="1" style="6" min="3" max="3"/>
    <col width="20.359375" bestFit="1" customWidth="1" style="6" min="4" max="4"/>
    <col width="13.34765625" bestFit="1" customWidth="1" style="4" min="5" max="5"/>
    <col width="9.9765625" bestFit="1" customWidth="1" style="4" min="6" max="6"/>
    <col width="9.57421875" bestFit="1" customWidth="1" style="4" min="7" max="7"/>
    <col width="10.24609375" bestFit="1" customWidth="1" style="4" min="8" max="8"/>
    <col width="9.57421875" bestFit="1" customWidth="1" style="4" min="9" max="9"/>
    <col width="8.62890625" bestFit="1" customWidth="1" style="4" min="10" max="10"/>
    <col width="9.16796875" bestFit="1" customWidth="1" style="4" min="11" max="11"/>
    <col width="9.70703125" bestFit="1" customWidth="1" style="4" min="12" max="12"/>
    <col width="9.9765625" bestFit="1" customWidth="1" style="5" min="13" max="13"/>
    <col width="9.57421875" bestFit="1" customWidth="1" style="5" min="14" max="14"/>
    <col width="10.24609375" bestFit="1" customWidth="1" style="5" min="15" max="15"/>
    <col width="9.57421875" bestFit="1" customWidth="1" style="5" min="16" max="16"/>
    <col width="8.62890625" bestFit="1" customWidth="1" style="5" min="17" max="17"/>
    <col width="9.16796875" bestFit="1" customWidth="1" style="5" min="18" max="18"/>
    <col width="9.70703125" bestFit="1" customWidth="1" style="5" min="19" max="19"/>
    <col width="16.5859375" bestFit="1" customWidth="1" style="5" min="20" max="20"/>
    <col width="11.4609375" customWidth="1" style="5" min="21" max="16384"/>
  </cols>
  <sheetData>
    <row r="2" ht="18" customHeight="1" s="172">
      <c r="A2" s="156">
        <f>CONCATENATE("Sprint #",E5, "Tracking Sheet")</f>
        <v/>
      </c>
    </row>
    <row r="4" s="172">
      <c r="A4" s="2" t="n"/>
      <c r="B4" s="5" t="n"/>
      <c r="C4" s="29" t="inlineStr">
        <is>
          <t>Project</t>
        </is>
      </c>
      <c r="D4" s="47" t="n"/>
      <c r="E4" s="187" t="inlineStr">
        <is>
          <t>AceReads</t>
        </is>
      </c>
      <c r="F4" s="188" t="n"/>
      <c r="G4" s="188" t="n"/>
      <c r="H4" s="188" t="n"/>
      <c r="I4" s="188" t="n"/>
      <c r="J4" s="189" t="n"/>
    </row>
    <row r="5">
      <c r="C5" s="11" t="inlineStr">
        <is>
          <t>Sprint #</t>
        </is>
      </c>
      <c r="D5" s="11" t="n"/>
      <c r="E5" s="22" t="n">
        <v>1</v>
      </c>
    </row>
    <row r="6">
      <c r="C6" s="11" t="inlineStr">
        <is>
          <t>Start date</t>
        </is>
      </c>
      <c r="D6" s="11" t="n"/>
      <c r="E6" s="23" t="n">
        <v>46181</v>
      </c>
    </row>
    <row r="7" ht="13.5" customHeight="1" s="172" thickBot="1">
      <c r="C7" s="3" t="n"/>
      <c r="D7" s="11" t="inlineStr">
        <is>
          <t>Total Team Members</t>
        </is>
      </c>
      <c r="E7" s="22" t="n">
        <v>5</v>
      </c>
    </row>
    <row r="8" ht="13.5" customHeight="1" s="172" thickBot="1">
      <c r="F8" s="190" t="inlineStr">
        <is>
          <t>week 1</t>
        </is>
      </c>
      <c r="G8" s="191" t="n"/>
      <c r="H8" s="191" t="n"/>
      <c r="I8" s="191" t="n"/>
      <c r="J8" s="191" t="n"/>
      <c r="K8" s="191" t="n"/>
      <c r="L8" s="192" t="n"/>
      <c r="M8" s="190" t="inlineStr">
        <is>
          <t>week 2</t>
        </is>
      </c>
      <c r="N8" s="191" t="n"/>
      <c r="O8" s="191" t="n"/>
      <c r="P8" s="191" t="n"/>
      <c r="Q8" s="191" t="n"/>
      <c r="R8" s="191" t="n"/>
      <c r="S8" s="192" t="n"/>
    </row>
    <row r="9" ht="13.5" customHeight="1" s="172" thickBot="1">
      <c r="F9" s="52" t="n">
        <v>1</v>
      </c>
      <c r="G9" s="53" t="n">
        <v>2</v>
      </c>
      <c r="H9" s="52" t="n">
        <v>3</v>
      </c>
      <c r="I9" s="53" t="n">
        <v>4</v>
      </c>
      <c r="J9" s="52" t="n">
        <v>5</v>
      </c>
      <c r="K9" s="53" t="n">
        <v>6</v>
      </c>
      <c r="L9" s="52" t="n">
        <v>7</v>
      </c>
      <c r="M9" s="53" t="n">
        <v>8</v>
      </c>
      <c r="N9" s="52" t="n">
        <v>9</v>
      </c>
      <c r="O9" s="53" t="n">
        <v>10</v>
      </c>
      <c r="P9" s="52" t="n">
        <v>11</v>
      </c>
      <c r="Q9" s="53" t="n">
        <v>12</v>
      </c>
      <c r="R9" s="52" t="n">
        <v>13</v>
      </c>
      <c r="S9" s="53" t="n">
        <v>14</v>
      </c>
    </row>
    <row r="10" ht="24" customFormat="1" customHeight="1" s="3">
      <c r="A10" s="17" t="inlineStr">
        <is>
          <t>Task ID</t>
        </is>
      </c>
      <c r="B10" s="19" t="inlineStr">
        <is>
          <t>Story ID</t>
        </is>
      </c>
      <c r="C10" s="18" t="inlineStr">
        <is>
          <t>Description</t>
        </is>
      </c>
      <c r="D10" s="48" t="inlineStr">
        <is>
          <t>Responsibility</t>
        </is>
      </c>
      <c r="E10" s="20" t="inlineStr">
        <is>
          <t>Initial estimate</t>
        </is>
      </c>
      <c r="F10" s="193">
        <f>E6</f>
        <v/>
      </c>
      <c r="G10" s="194">
        <f>F10+1</f>
        <v/>
      </c>
      <c r="H10" s="194">
        <f>G10+1</f>
        <v/>
      </c>
      <c r="I10" s="194">
        <f>H10+1</f>
        <v/>
      </c>
      <c r="J10" s="194">
        <f>I10+1</f>
        <v/>
      </c>
      <c r="K10" s="194">
        <f>J10+1</f>
        <v/>
      </c>
      <c r="L10" s="194">
        <f>K10+1</f>
        <v/>
      </c>
      <c r="M10" s="194">
        <f>L10+1</f>
        <v/>
      </c>
      <c r="N10" s="194">
        <f>M10+1</f>
        <v/>
      </c>
      <c r="O10" s="194">
        <f>N10+1</f>
        <v/>
      </c>
      <c r="P10" s="194">
        <f>O10+1</f>
        <v/>
      </c>
      <c r="Q10" s="194">
        <f>P10+1</f>
        <v/>
      </c>
      <c r="R10" s="194">
        <f>Q10+1</f>
        <v/>
      </c>
      <c r="S10" s="194">
        <f>R10+1</f>
        <v/>
      </c>
      <c r="T10" s="195" t="inlineStr">
        <is>
          <t>Actual Completed By</t>
        </is>
      </c>
    </row>
    <row r="11" ht="24" customFormat="1" customHeight="1" s="28">
      <c r="A11" s="25" t="inlineStr">
        <is>
          <t>T1-001</t>
        </is>
      </c>
      <c r="B11" s="26" t="inlineStr">
        <is>
          <t>EPIC-001</t>
        </is>
      </c>
      <c r="C11" s="27" t="inlineStr">
        <is>
          <t>Design &amp; implement user registration (DB, API, UI)</t>
        </is>
      </c>
      <c r="D11" s="49" t="inlineStr">
        <is>
          <t>Ali Osman</t>
        </is>
      </c>
      <c r="E11" s="109" t="n">
        <v>12</v>
      </c>
      <c r="F11" s="110" t="n">
        <v>12</v>
      </c>
      <c r="G11" s="110" t="n">
        <v>10</v>
      </c>
      <c r="H11" s="110" t="n">
        <v>8</v>
      </c>
      <c r="I11" s="110" t="n">
        <v>5</v>
      </c>
      <c r="J11" s="111" t="n">
        <v>0</v>
      </c>
      <c r="K11" s="111" t="n">
        <v>0</v>
      </c>
      <c r="L11" s="111" t="n">
        <v>0</v>
      </c>
      <c r="M11" s="110" t="n">
        <v>0</v>
      </c>
      <c r="N11" s="110" t="n">
        <v>0</v>
      </c>
      <c r="O11" s="110" t="n">
        <v>0</v>
      </c>
      <c r="P11" s="110" t="n">
        <v>0</v>
      </c>
      <c r="Q11" s="111" t="n">
        <v>0</v>
      </c>
      <c r="R11" s="111" t="n">
        <v>0</v>
      </c>
      <c r="S11" s="111" t="n">
        <v>0</v>
      </c>
      <c r="T11" s="196" t="inlineStr">
        <is>
          <t>Ali Osman</t>
        </is>
      </c>
    </row>
    <row r="12" ht="24" customFormat="1" customHeight="1" s="28">
      <c r="A12" s="25" t="inlineStr">
        <is>
          <t>T1-002</t>
        </is>
      </c>
      <c r="B12" s="26" t="inlineStr">
        <is>
          <t>EPIC-001</t>
        </is>
      </c>
      <c r="C12" s="27" t="inlineStr">
        <is>
          <t>Implement password encryption &amp; validation</t>
        </is>
      </c>
      <c r="D12" s="49" t="inlineStr">
        <is>
          <t>Ali Osman</t>
        </is>
      </c>
      <c r="E12" s="109" t="n">
        <v>6</v>
      </c>
      <c r="F12" s="110" t="n">
        <v>6</v>
      </c>
      <c r="G12" s="110" t="n">
        <v>5</v>
      </c>
      <c r="H12" s="110" t="n">
        <v>3</v>
      </c>
      <c r="I12" s="110" t="n">
        <v>0</v>
      </c>
      <c r="J12" s="111" t="n">
        <v>0</v>
      </c>
      <c r="K12" s="111" t="n">
        <v>0</v>
      </c>
      <c r="L12" s="111" t="n">
        <v>0</v>
      </c>
      <c r="M12" s="110" t="n">
        <v>0</v>
      </c>
      <c r="N12" s="110" t="n">
        <v>0</v>
      </c>
      <c r="O12" s="110" t="n">
        <v>0</v>
      </c>
      <c r="P12" s="110" t="n">
        <v>0</v>
      </c>
      <c r="Q12" s="111" t="n">
        <v>0</v>
      </c>
      <c r="R12" s="111" t="n">
        <v>0</v>
      </c>
      <c r="S12" s="111" t="n">
        <v>0</v>
      </c>
      <c r="T12" s="196" t="inlineStr">
        <is>
          <t>Ali Osman</t>
        </is>
      </c>
    </row>
    <row r="13" ht="24" customFormat="1" customHeight="1" s="28">
      <c r="A13" s="25" t="inlineStr">
        <is>
          <t>T1-003</t>
        </is>
      </c>
      <c r="B13" s="42" t="inlineStr">
        <is>
          <t>EPIC-001</t>
        </is>
      </c>
      <c r="C13" s="27" t="inlineStr">
        <is>
          <t>Create login system with session management</t>
        </is>
      </c>
      <c r="D13" s="49" t="inlineStr">
        <is>
          <t>Juana Rodriguez</t>
        </is>
      </c>
      <c r="E13" s="109" t="n">
        <v>10</v>
      </c>
      <c r="F13" s="110" t="n">
        <v>10</v>
      </c>
      <c r="G13" s="111" t="n">
        <v>10</v>
      </c>
      <c r="H13" s="111" t="n">
        <v>10</v>
      </c>
      <c r="I13" s="111" t="n">
        <v>8</v>
      </c>
      <c r="J13" s="111" t="n">
        <v>5</v>
      </c>
      <c r="K13" s="111" t="n">
        <v>2</v>
      </c>
      <c r="L13" s="111" t="n">
        <v>0</v>
      </c>
      <c r="M13" s="110" t="n">
        <v>0</v>
      </c>
      <c r="N13" s="111" t="n">
        <v>0</v>
      </c>
      <c r="O13" s="111" t="n">
        <v>0</v>
      </c>
      <c r="P13" s="111" t="n">
        <v>0</v>
      </c>
      <c r="Q13" s="111" t="n">
        <v>0</v>
      </c>
      <c r="R13" s="111" t="n">
        <v>0</v>
      </c>
      <c r="S13" s="111" t="n">
        <v>0</v>
      </c>
      <c r="T13" s="196" t="inlineStr">
        <is>
          <t>Juana Rodriguez</t>
        </is>
      </c>
    </row>
    <row r="14" ht="24" customFormat="1" customHeight="1" s="28">
      <c r="A14" s="25" t="inlineStr">
        <is>
          <t>T1-004</t>
        </is>
      </c>
      <c r="B14" s="42" t="inlineStr">
        <is>
          <t>EPIC-001</t>
        </is>
      </c>
      <c r="C14" s="27" t="inlineStr">
        <is>
          <t>Build login/registration UI with error handling</t>
        </is>
      </c>
      <c r="D14" s="49" t="inlineStr">
        <is>
          <t>Kyonna Robinson</t>
        </is>
      </c>
      <c r="E14" s="109" t="n">
        <v>8</v>
      </c>
      <c r="F14" s="110" t="n">
        <v>8</v>
      </c>
      <c r="G14" s="111" t="n">
        <v>8</v>
      </c>
      <c r="H14" s="111" t="n">
        <v>8</v>
      </c>
      <c r="I14" s="111" t="n">
        <v>6</v>
      </c>
      <c r="J14" s="111" t="n">
        <v>4</v>
      </c>
      <c r="K14" s="111" t="n">
        <v>2</v>
      </c>
      <c r="L14" s="111" t="n">
        <v>0</v>
      </c>
      <c r="M14" s="110" t="n">
        <v>0</v>
      </c>
      <c r="N14" s="111" t="n">
        <v>0</v>
      </c>
      <c r="O14" s="111" t="n">
        <v>0</v>
      </c>
      <c r="P14" s="111" t="n">
        <v>0</v>
      </c>
      <c r="Q14" s="111" t="n">
        <v>0</v>
      </c>
      <c r="R14" s="111" t="n">
        <v>0</v>
      </c>
      <c r="S14" s="111" t="n">
        <v>0</v>
      </c>
      <c r="T14" s="196" t="inlineStr">
        <is>
          <t>Kyonna Robinson</t>
        </is>
      </c>
    </row>
    <row r="15" ht="24" customFormat="1" customHeight="1" s="28">
      <c r="A15" s="25" t="inlineStr">
        <is>
          <t>T1-005</t>
        </is>
      </c>
      <c r="B15" s="42" t="inlineStr">
        <is>
          <t>EPIC-002</t>
        </is>
      </c>
      <c r="C15" s="27" t="inlineStr">
        <is>
          <t>Design book inventory database schema</t>
        </is>
      </c>
      <c r="D15" s="49" t="inlineStr">
        <is>
          <t>Nathan Horstmeier</t>
        </is>
      </c>
      <c r="E15" s="109" t="n">
        <v>6</v>
      </c>
      <c r="F15" s="110" t="n">
        <v>6</v>
      </c>
      <c r="G15" s="111" t="n">
        <v>6</v>
      </c>
      <c r="H15" s="111" t="n">
        <v>6</v>
      </c>
      <c r="I15" s="111" t="n">
        <v>6</v>
      </c>
      <c r="J15" s="111" t="n">
        <v>6</v>
      </c>
      <c r="K15" s="111" t="n">
        <v>6</v>
      </c>
      <c r="L15" s="111" t="n">
        <v>6</v>
      </c>
      <c r="M15" s="110" t="n">
        <v>4</v>
      </c>
      <c r="N15" s="111" t="n">
        <v>2</v>
      </c>
      <c r="O15" s="111" t="n">
        <v>0</v>
      </c>
      <c r="P15" s="111" t="n">
        <v>0</v>
      </c>
      <c r="Q15" s="111" t="n">
        <v>0</v>
      </c>
      <c r="R15" s="111" t="n">
        <v>0</v>
      </c>
      <c r="S15" s="111" t="n">
        <v>0</v>
      </c>
      <c r="T15" s="196" t="inlineStr">
        <is>
          <t>Nathan Horstmeier</t>
        </is>
      </c>
    </row>
    <row r="16" ht="24" customFormat="1" customHeight="1" s="28">
      <c r="A16" s="25" t="inlineStr">
        <is>
          <t>T1-006</t>
        </is>
      </c>
      <c r="B16" s="42" t="inlineStr">
        <is>
          <t>EPIC-002</t>
        </is>
      </c>
      <c r="C16" s="27" t="inlineStr">
        <is>
          <t>Create CRUD APIs for book management</t>
        </is>
      </c>
      <c r="D16" s="49" t="inlineStr">
        <is>
          <t>Nathan Horstmeier</t>
        </is>
      </c>
      <c r="E16" s="109" t="n">
        <v>12</v>
      </c>
      <c r="F16" s="110" t="n">
        <v>12</v>
      </c>
      <c r="G16" s="111" t="n">
        <v>12</v>
      </c>
      <c r="H16" s="111" t="n">
        <v>12</v>
      </c>
      <c r="I16" s="111" t="n">
        <v>12</v>
      </c>
      <c r="J16" s="111" t="n">
        <v>12</v>
      </c>
      <c r="K16" s="111" t="n">
        <v>10</v>
      </c>
      <c r="L16" s="111" t="n">
        <v>8</v>
      </c>
      <c r="M16" s="110" t="n">
        <v>6</v>
      </c>
      <c r="N16" s="111" t="n">
        <v>4</v>
      </c>
      <c r="O16" s="111" t="n">
        <v>2</v>
      </c>
      <c r="P16" s="111" t="n">
        <v>0</v>
      </c>
      <c r="Q16" s="111" t="n">
        <v>0</v>
      </c>
      <c r="R16" s="111" t="n">
        <v>0</v>
      </c>
      <c r="S16" s="111" t="n">
        <v>0</v>
      </c>
      <c r="T16" s="196" t="inlineStr">
        <is>
          <t>Nathan Horstmeier</t>
        </is>
      </c>
    </row>
    <row r="17" ht="24" customFormat="1" customHeight="1" s="8">
      <c r="A17" s="60" t="inlineStr">
        <is>
          <t>T1-007</t>
        </is>
      </c>
      <c r="B17" s="61" t="inlineStr">
        <is>
          <t>EPIC-002</t>
        </is>
      </c>
      <c r="C17" s="62" t="inlineStr">
        <is>
          <t>Build admin book management interface</t>
        </is>
      </c>
      <c r="D17" s="63" t="inlineStr">
        <is>
          <t>Nathan Horstmeier</t>
        </is>
      </c>
      <c r="E17" s="109" t="n">
        <v>10</v>
      </c>
      <c r="F17" s="113" t="n">
        <v>10</v>
      </c>
      <c r="G17" s="114" t="n">
        <v>10</v>
      </c>
      <c r="H17" s="114" t="n">
        <v>10</v>
      </c>
      <c r="I17" s="114" t="n">
        <v>10</v>
      </c>
      <c r="J17" s="114" t="n">
        <v>10</v>
      </c>
      <c r="K17" s="114" t="n">
        <v>10</v>
      </c>
      <c r="L17" s="114" t="n">
        <v>10</v>
      </c>
      <c r="M17" s="113" t="n">
        <v>8</v>
      </c>
      <c r="N17" s="114" t="n">
        <v>6</v>
      </c>
      <c r="O17" s="114" t="n">
        <v>4</v>
      </c>
      <c r="P17" s="114" t="n">
        <v>2</v>
      </c>
      <c r="Q17" s="114" t="n">
        <v>0</v>
      </c>
      <c r="R17" s="114" t="n">
        <v>0</v>
      </c>
      <c r="S17" s="115" t="n">
        <v>0</v>
      </c>
      <c r="T17" s="196" t="inlineStr">
        <is>
          <t>Nathan Horstmeier</t>
        </is>
      </c>
    </row>
    <row r="18" ht="24" customFormat="1" customHeight="1" s="8">
      <c r="A18" s="26" t="inlineStr">
        <is>
          <t>T1-008</t>
        </is>
      </c>
      <c r="B18" s="42" t="inlineStr">
        <is>
          <t>EPIC-003</t>
        </is>
      </c>
      <c r="C18" s="27" t="inlineStr">
        <is>
          <t>Implement book search &amp; filtering backend</t>
        </is>
      </c>
      <c r="D18" s="27" t="inlineStr">
        <is>
          <t>Juana Rodriguez</t>
        </is>
      </c>
      <c r="E18" s="117" t="n">
        <v>6</v>
      </c>
      <c r="F18" s="118" t="n">
        <v>6</v>
      </c>
      <c r="G18" s="119" t="n">
        <v>6</v>
      </c>
      <c r="H18" s="119" t="n">
        <v>6</v>
      </c>
      <c r="I18" s="115" t="n">
        <v>6</v>
      </c>
      <c r="J18" s="115" t="n">
        <v>6</v>
      </c>
      <c r="K18" s="120" t="n">
        <v>6</v>
      </c>
      <c r="L18" s="121" t="n">
        <v>6</v>
      </c>
      <c r="M18" s="111" t="n">
        <v>6</v>
      </c>
      <c r="N18" s="115" t="n">
        <v>6</v>
      </c>
      <c r="O18" s="121" t="n">
        <v>0</v>
      </c>
      <c r="P18" s="115" t="n">
        <v>0</v>
      </c>
      <c r="Q18" s="121" t="n">
        <v>0</v>
      </c>
      <c r="R18" s="115" t="n">
        <v>0</v>
      </c>
      <c r="S18" s="114" t="n">
        <v>0</v>
      </c>
      <c r="T18" s="196" t="inlineStr">
        <is>
          <t>Juana Rodriguez</t>
        </is>
      </c>
    </row>
    <row r="19" ht="24" customHeight="1" s="172">
      <c r="A19" s="67" t="inlineStr">
        <is>
          <t>T1-009</t>
        </is>
      </c>
      <c r="B19" s="61" t="inlineStr">
        <is>
          <t>EPIC-003</t>
        </is>
      </c>
      <c r="C19" s="62" t="inlineStr">
        <is>
          <t>Configure security (SSL, RBAC, input validation)</t>
        </is>
      </c>
      <c r="D19" s="62" t="inlineStr">
        <is>
          <t>Nathan Horstmeier</t>
        </is>
      </c>
      <c r="E19" s="122" t="n">
        <v>8</v>
      </c>
      <c r="F19" s="118" t="n">
        <v>8</v>
      </c>
      <c r="G19" s="123" t="n">
        <v>8</v>
      </c>
      <c r="H19" s="115" t="n">
        <v>8</v>
      </c>
      <c r="I19" s="120" t="n">
        <v>8</v>
      </c>
      <c r="J19" s="124" t="n">
        <v>8</v>
      </c>
      <c r="K19" s="115" t="n">
        <v>8</v>
      </c>
      <c r="L19" s="119" t="n">
        <v>8</v>
      </c>
      <c r="M19" s="111" t="n">
        <v>8</v>
      </c>
      <c r="N19" s="115" t="n">
        <v>6</v>
      </c>
      <c r="O19" s="124" t="n">
        <v>4</v>
      </c>
      <c r="P19" s="115" t="n">
        <v>2</v>
      </c>
      <c r="Q19" s="115" t="n">
        <v>0</v>
      </c>
      <c r="R19" s="124" t="n">
        <v>0</v>
      </c>
      <c r="S19" s="114" t="n">
        <v>0</v>
      </c>
      <c r="T19" s="197" t="inlineStr">
        <is>
          <t>Nathan Horstmeier</t>
        </is>
      </c>
    </row>
    <row r="20">
      <c r="A20" s="26" t="inlineStr">
        <is>
          <t>T1-010</t>
        </is>
      </c>
      <c r="B20" s="42" t="inlineStr">
        <is>
          <t>EPIC-003</t>
        </is>
      </c>
      <c r="C20" s="27" t="inlineStr">
        <is>
          <t>Implement book search functionality</t>
        </is>
      </c>
      <c r="D20" s="27" t="inlineStr">
        <is>
          <t>Juana Rodriguez</t>
        </is>
      </c>
      <c r="E20" s="117" t="n">
        <v>10</v>
      </c>
      <c r="F20" s="118" t="n">
        <v>10</v>
      </c>
      <c r="G20" s="115" t="n">
        <v>10</v>
      </c>
      <c r="H20" s="114" t="n">
        <v>10</v>
      </c>
      <c r="I20" s="114" t="n">
        <v>10</v>
      </c>
      <c r="J20" s="115" t="n">
        <v>10</v>
      </c>
      <c r="K20" s="125" t="n">
        <v>10</v>
      </c>
      <c r="L20" s="115" t="n">
        <v>10</v>
      </c>
      <c r="M20" s="111" t="n">
        <v>8</v>
      </c>
      <c r="N20" s="126" t="n">
        <v>0</v>
      </c>
      <c r="O20" s="115" t="n">
        <v>0</v>
      </c>
      <c r="P20" s="125" t="n">
        <v>0</v>
      </c>
      <c r="Q20" s="127" t="n">
        <v>0</v>
      </c>
      <c r="R20" s="115" t="n">
        <v>0</v>
      </c>
      <c r="S20" s="115" t="n">
        <v>0</v>
      </c>
      <c r="T20" s="197" t="inlineStr">
        <is>
          <t>Juana Rodriguez</t>
        </is>
      </c>
    </row>
    <row r="21">
      <c r="A21" s="26" t="inlineStr">
        <is>
          <t>T1-011</t>
        </is>
      </c>
      <c r="B21" s="42" t="inlineStr">
        <is>
          <t>EPIC-003</t>
        </is>
      </c>
      <c r="C21" s="27" t="inlineStr">
        <is>
          <t>Build search results UI with filters</t>
        </is>
      </c>
      <c r="D21" s="27" t="inlineStr">
        <is>
          <t>Kyonna Robinson</t>
        </is>
      </c>
      <c r="E21" s="117" t="n">
        <v>6</v>
      </c>
      <c r="F21" s="118" t="n">
        <v>6</v>
      </c>
      <c r="G21" s="126" t="n">
        <v>6</v>
      </c>
      <c r="H21" s="115" t="n">
        <v>6</v>
      </c>
      <c r="I21" s="115" t="n">
        <v>6</v>
      </c>
      <c r="J21" s="128" t="n">
        <v>6</v>
      </c>
      <c r="K21" s="119" t="n">
        <v>6</v>
      </c>
      <c r="L21" s="119" t="n">
        <v>6</v>
      </c>
      <c r="M21" s="129" t="n">
        <v>6</v>
      </c>
      <c r="N21" s="124" t="n">
        <v>4</v>
      </c>
      <c r="O21" s="115" t="n">
        <v>2</v>
      </c>
      <c r="P21" s="125" t="n">
        <v>0</v>
      </c>
      <c r="Q21" s="119" t="n">
        <v>0</v>
      </c>
      <c r="R21" s="115" t="n">
        <v>0</v>
      </c>
      <c r="S21" s="115" t="n">
        <v>0</v>
      </c>
      <c r="T21" s="197" t="inlineStr">
        <is>
          <t>Kyonna Robinson</t>
        </is>
      </c>
    </row>
    <row r="22" ht="24" customHeight="1" s="172">
      <c r="A22" s="26" t="inlineStr">
        <is>
          <t>T1-012</t>
        </is>
      </c>
      <c r="B22" s="26" t="inlineStr">
        <is>
          <t>EPIC-010</t>
        </is>
      </c>
      <c r="C22" s="27" t="inlineStr">
        <is>
          <t>Implement SSL/TLS security configuration</t>
        </is>
      </c>
      <c r="D22" s="27" t="inlineStr">
        <is>
          <t>Nathan Horstmeier</t>
        </is>
      </c>
      <c r="E22" s="109" t="n">
        <v>4</v>
      </c>
      <c r="F22" s="130" t="n">
        <v>4</v>
      </c>
      <c r="G22" s="115" t="n">
        <v>4</v>
      </c>
      <c r="H22" s="131" t="n">
        <v>4</v>
      </c>
      <c r="I22" s="115" t="n">
        <v>4</v>
      </c>
      <c r="J22" s="124" t="n">
        <v>4</v>
      </c>
      <c r="K22" s="114" t="n">
        <v>4</v>
      </c>
      <c r="L22" s="119" t="n">
        <v>4</v>
      </c>
      <c r="M22" s="132" t="n">
        <v>4</v>
      </c>
      <c r="N22" s="115" t="n">
        <v>2</v>
      </c>
      <c r="O22" s="125" t="n">
        <v>0</v>
      </c>
      <c r="P22" s="115" t="n">
        <v>0</v>
      </c>
      <c r="Q22" s="124" t="n">
        <v>0</v>
      </c>
      <c r="R22" s="114" t="n">
        <v>0</v>
      </c>
      <c r="S22" s="126" t="n">
        <v>0</v>
      </c>
      <c r="T22" s="197" t="inlineStr">
        <is>
          <t>Nathan Horstmeier</t>
        </is>
      </c>
    </row>
    <row r="23" ht="24.75" customHeight="1" s="172" thickBot="1">
      <c r="A23" s="65" t="inlineStr">
        <is>
          <t>T1-013</t>
        </is>
      </c>
      <c r="B23" s="68" t="inlineStr">
        <is>
          <t>EPIC-010</t>
        </is>
      </c>
      <c r="C23" s="66" t="inlineStr">
        <is>
          <t>Set up role-based access control (RBAC)</t>
        </is>
      </c>
      <c r="D23" s="66" t="inlineStr">
        <is>
          <t>Nathan Horstmeier</t>
        </is>
      </c>
      <c r="E23" s="133" t="n">
        <v>6</v>
      </c>
      <c r="F23" s="134" t="n">
        <v>6</v>
      </c>
      <c r="G23" s="135" t="n">
        <v>6</v>
      </c>
      <c r="H23" s="135" t="n">
        <v>6</v>
      </c>
      <c r="I23" s="135" t="n">
        <v>6</v>
      </c>
      <c r="J23" s="136" t="n">
        <v>6</v>
      </c>
      <c r="K23" s="136" t="n">
        <v>6</v>
      </c>
      <c r="L23" s="137" t="n">
        <v>6</v>
      </c>
      <c r="M23" s="138" t="n">
        <v>4</v>
      </c>
      <c r="N23" s="136" t="n">
        <v>2</v>
      </c>
      <c r="O23" s="136" t="n">
        <v>0</v>
      </c>
      <c r="P23" s="136" t="n">
        <v>0</v>
      </c>
      <c r="Q23" s="136" t="n">
        <v>0</v>
      </c>
      <c r="R23" s="136" t="n">
        <v>0</v>
      </c>
      <c r="S23" s="135" t="n">
        <v>0</v>
      </c>
      <c r="T23" s="197" t="inlineStr">
        <is>
          <t>Nathan Horstmeier</t>
        </is>
      </c>
    </row>
    <row r="24">
      <c r="M24" s="4" t="n"/>
      <c r="N24" s="4" t="n"/>
      <c r="O24" s="4" t="n"/>
      <c r="P24" s="4" t="n"/>
      <c r="Q24" s="4" t="n"/>
      <c r="R24" s="4" t="n"/>
      <c r="S24" s="4" t="n"/>
    </row>
    <row r="25">
      <c r="C25" s="12" t="inlineStr">
        <is>
          <t>Remaining units (actual)</t>
        </is>
      </c>
      <c r="D25" s="50" t="n"/>
      <c r="E25" s="198" t="n">
        <v>104</v>
      </c>
      <c r="F25" s="9">
        <f>SUM(F11:F24)</f>
        <v/>
      </c>
      <c r="G25" s="9">
        <f>SUM(G11:G24)</f>
        <v/>
      </c>
      <c r="H25" s="9">
        <f>SUM(H11:H24)</f>
        <v/>
      </c>
      <c r="I25" s="9">
        <f>SUM(I11:I24)</f>
        <v/>
      </c>
      <c r="J25" s="9">
        <f>SUM(J11:J24)</f>
        <v/>
      </c>
      <c r="K25" s="9">
        <f>SUM(K11:K24)</f>
        <v/>
      </c>
      <c r="L25" s="9">
        <f>SUM(L11:L24)</f>
        <v/>
      </c>
      <c r="M25" s="9">
        <f>SUM(M11:M24)</f>
        <v/>
      </c>
      <c r="N25" s="9">
        <f>SUM(N11:N24)</f>
        <v/>
      </c>
      <c r="O25" s="9">
        <f>SUM(O11:O24)</f>
        <v/>
      </c>
      <c r="P25" s="9">
        <f>SUM(P11:P24)</f>
        <v/>
      </c>
      <c r="Q25" s="9">
        <f>SUM(Q11:Q24)</f>
        <v/>
      </c>
      <c r="R25" s="9">
        <f>SUM(R11:R24)</f>
        <v/>
      </c>
      <c r="S25" s="9">
        <f>SUM(S11:S24)</f>
        <v/>
      </c>
    </row>
    <row r="26">
      <c r="C26" s="12" t="inlineStr">
        <is>
          <t>Remaining units (ideal)</t>
        </is>
      </c>
      <c r="D26" s="51" t="n"/>
      <c r="E26" s="199" t="n"/>
      <c r="F26" s="200">
        <f>SUM($E$11:$E$24)</f>
        <v/>
      </c>
      <c r="G26" s="200">
        <f>F26-($E$25/14)</f>
        <v/>
      </c>
      <c r="H26" s="200">
        <f>G26-($E$25/14)</f>
        <v/>
      </c>
      <c r="I26" s="200">
        <f>H26-($E$25/14)</f>
        <v/>
      </c>
      <c r="J26" s="200">
        <f>I26-($E$25/14)</f>
        <v/>
      </c>
      <c r="K26" s="200">
        <f>J26-($E$25/14)</f>
        <v/>
      </c>
      <c r="L26" s="200">
        <f>K26-($E$25/14)</f>
        <v/>
      </c>
      <c r="M26" s="200">
        <f>L26-($E$25/14)</f>
        <v/>
      </c>
      <c r="N26" s="200">
        <f>M26-($E$25/14)</f>
        <v/>
      </c>
      <c r="O26" s="200">
        <f>N26-($E$25/14)</f>
        <v/>
      </c>
      <c r="P26" s="200">
        <f>O26-($E$25/14)</f>
        <v/>
      </c>
      <c r="Q26" s="200">
        <f>P26-($E$25/14)</f>
        <v/>
      </c>
      <c r="R26" s="200">
        <f>Q26-($E$25/14)</f>
        <v/>
      </c>
      <c r="S26" s="200">
        <f>R26-($E$25/14)</f>
        <v/>
      </c>
    </row>
    <row r="27">
      <c r="M27" s="4" t="n"/>
      <c r="N27" s="4" t="n"/>
      <c r="O27" s="4" t="n"/>
      <c r="P27" s="4" t="n"/>
      <c r="Q27" s="4" t="n"/>
      <c r="R27" s="4" t="n"/>
      <c r="S27" s="4" t="n"/>
    </row>
    <row r="28">
      <c r="A28" s="155" t="inlineStr">
        <is>
          <t>Actual completion note: Original task assignments were revised mid-sprint as the team coordinated workloads. Final responsibilities reflect who completed each task. All 13 tasks were delivered by Sprint 1 end date.</t>
        </is>
      </c>
    </row>
    <row r="29">
      <c r="A29" s="6" t="n"/>
      <c r="B29" s="6" t="n"/>
      <c r="E29" s="82" t="n"/>
      <c r="F29" s="82" t="n"/>
      <c r="G29" s="82" t="n"/>
      <c r="H29" s="82" t="n"/>
      <c r="I29" s="82" t="n"/>
      <c r="J29" s="82" t="n"/>
      <c r="K29" s="82" t="n"/>
      <c r="L29" s="82" t="n"/>
      <c r="M29" s="82" t="n"/>
      <c r="N29" s="82" t="n"/>
      <c r="O29" s="82" t="n"/>
      <c r="P29" s="82" t="n"/>
      <c r="Q29" s="82" t="n"/>
      <c r="R29" s="82" t="n"/>
      <c r="S29" s="82" t="n"/>
      <c r="T29" s="6" t="n"/>
    </row>
    <row r="30">
      <c r="A30" s="6" t="n"/>
      <c r="B30" s="6" t="n"/>
      <c r="E30" s="82" t="n"/>
      <c r="F30" s="82" t="n"/>
      <c r="G30" s="82" t="n"/>
      <c r="H30" s="82" t="n"/>
      <c r="I30" s="82" t="n"/>
      <c r="J30" s="82" t="n"/>
      <c r="K30" s="82" t="n"/>
      <c r="L30" s="82" t="n"/>
      <c r="M30" s="82" t="n"/>
      <c r="N30" s="82" t="n"/>
      <c r="O30" s="82" t="n"/>
      <c r="P30" s="82" t="n"/>
      <c r="Q30" s="82" t="n"/>
      <c r="R30" s="82" t="n"/>
      <c r="S30" s="82" t="n"/>
      <c r="T30" s="6" t="n"/>
    </row>
    <row r="31">
      <c r="K31" s="7" t="n"/>
      <c r="M31" s="4" t="n"/>
      <c r="N31" s="4" t="n"/>
      <c r="O31" s="4" t="n"/>
      <c r="P31" s="4" t="n"/>
      <c r="Q31" s="4" t="n"/>
      <c r="R31" s="7" t="n"/>
      <c r="S31" s="4" t="n"/>
    </row>
    <row r="32">
      <c r="K32" s="7" t="n"/>
      <c r="L32" s="7" t="n"/>
      <c r="M32" s="4" t="n"/>
      <c r="N32" s="4" t="n"/>
      <c r="O32" s="4" t="n"/>
      <c r="P32" s="4" t="n"/>
      <c r="Q32" s="4" t="n"/>
      <c r="R32" s="7" t="n"/>
      <c r="S32" s="7" t="n"/>
    </row>
    <row r="33">
      <c r="M33" s="4" t="n"/>
      <c r="N33" s="4" t="n"/>
      <c r="O33" s="4" t="n"/>
      <c r="P33" s="4" t="n"/>
      <c r="Q33" s="4" t="n"/>
      <c r="R33" s="4" t="n"/>
      <c r="S33" s="4" t="n"/>
    </row>
    <row r="34">
      <c r="M34" s="4" t="n"/>
      <c r="N34" s="4" t="n"/>
      <c r="O34" s="4" t="n"/>
      <c r="P34" s="4" t="n"/>
      <c r="Q34" s="4" t="n"/>
      <c r="R34" s="4" t="n"/>
      <c r="S34" s="4" t="n"/>
    </row>
    <row r="35">
      <c r="M35" s="4" t="n"/>
      <c r="N35" s="4" t="n"/>
      <c r="O35" s="4" t="n"/>
      <c r="P35" s="4" t="n"/>
      <c r="Q35" s="4" t="n"/>
      <c r="R35" s="4" t="n"/>
      <c r="S35" s="4" t="n"/>
    </row>
    <row r="36">
      <c r="M36" s="4" t="n"/>
      <c r="N36" s="4" t="n"/>
      <c r="O36" s="4" t="n"/>
      <c r="P36" s="4" t="n"/>
      <c r="Q36" s="4" t="n"/>
      <c r="R36" s="4" t="n"/>
      <c r="S36" s="4" t="n"/>
    </row>
    <row r="37">
      <c r="M37" s="4" t="n"/>
      <c r="N37" s="4" t="n"/>
      <c r="O37" s="4" t="n"/>
      <c r="P37" s="4" t="n"/>
      <c r="Q37" s="4" t="n"/>
      <c r="R37" s="4" t="n"/>
      <c r="S37" s="4" t="n"/>
    </row>
    <row r="38">
      <c r="M38" s="4" t="n"/>
      <c r="N38" s="4" t="n"/>
      <c r="O38" s="4" t="n"/>
      <c r="P38" s="4" t="n"/>
      <c r="Q38" s="4" t="n"/>
      <c r="R38" s="4" t="n"/>
      <c r="S38" s="4" t="n"/>
    </row>
    <row r="39">
      <c r="M39" s="4" t="n"/>
      <c r="N39" s="4" t="n"/>
      <c r="O39" s="4" t="n"/>
      <c r="P39" s="4" t="n"/>
      <c r="Q39" s="4" t="n"/>
      <c r="R39" s="4" t="n"/>
      <c r="S39" s="4" t="n"/>
    </row>
    <row r="40">
      <c r="M40" s="4" t="n"/>
      <c r="N40" s="4" t="n"/>
      <c r="O40" s="4" t="n"/>
      <c r="P40" s="4" t="n"/>
      <c r="Q40" s="4" t="n"/>
      <c r="R40" s="4" t="n"/>
      <c r="S40" s="4" t="n"/>
    </row>
    <row r="41">
      <c r="M41" s="4" t="n"/>
      <c r="N41" s="4" t="n"/>
      <c r="O41" s="4" t="n"/>
      <c r="P41" s="4" t="n"/>
      <c r="Q41" s="4" t="n"/>
      <c r="R41" s="4" t="n"/>
      <c r="S41" s="4" t="n"/>
    </row>
    <row r="42">
      <c r="M42" s="4" t="n"/>
      <c r="N42" s="4" t="n"/>
      <c r="O42" s="4" t="n"/>
      <c r="P42" s="4" t="n"/>
      <c r="Q42" s="4" t="n"/>
      <c r="R42" s="4" t="n"/>
      <c r="S42" s="4" t="n"/>
    </row>
    <row r="43">
      <c r="M43" s="4" t="n"/>
      <c r="N43" s="4" t="n"/>
      <c r="O43" s="4" t="n"/>
      <c r="P43" s="4" t="n"/>
      <c r="Q43" s="4" t="n"/>
      <c r="R43" s="4" t="n"/>
      <c r="S43" s="4" t="n"/>
    </row>
    <row r="44">
      <c r="M44" s="4" t="n"/>
      <c r="N44" s="4" t="n"/>
      <c r="O44" s="4" t="n"/>
      <c r="P44" s="4" t="n"/>
      <c r="Q44" s="4" t="n"/>
      <c r="R44" s="4" t="n"/>
      <c r="S44" s="4" t="n"/>
    </row>
    <row r="45">
      <c r="M45" s="4" t="n"/>
      <c r="N45" s="4" t="n"/>
      <c r="O45" s="4" t="n"/>
      <c r="P45" s="4" t="n"/>
      <c r="Q45" s="4" t="n"/>
      <c r="R45" s="4" t="n"/>
      <c r="S45" s="4" t="n"/>
    </row>
    <row r="46">
      <c r="M46" s="4" t="n"/>
      <c r="N46" s="4" t="n"/>
      <c r="O46" s="4" t="n"/>
      <c r="P46" s="4" t="n"/>
      <c r="Q46" s="4" t="n"/>
      <c r="R46" s="4" t="n"/>
      <c r="S46" s="4" t="n"/>
    </row>
    <row r="47">
      <c r="M47" s="4" t="n"/>
      <c r="N47" s="4" t="n"/>
      <c r="O47" s="4" t="n"/>
      <c r="P47" s="4" t="n"/>
      <c r="Q47" s="4" t="n"/>
      <c r="R47" s="4" t="n"/>
      <c r="S47" s="4" t="n"/>
    </row>
    <row r="48">
      <c r="M48" s="4" t="n"/>
      <c r="N48" s="4" t="n"/>
      <c r="O48" s="4" t="n"/>
      <c r="P48" s="4" t="n"/>
      <c r="Q48" s="4" t="n"/>
      <c r="R48" s="4" t="n"/>
      <c r="S48" s="4" t="n"/>
    </row>
    <row r="49">
      <c r="M49" s="4" t="n"/>
      <c r="N49" s="4" t="n"/>
      <c r="O49" s="4" t="n"/>
      <c r="P49" s="4" t="n"/>
      <c r="Q49" s="4" t="n"/>
      <c r="R49" s="4" t="n"/>
      <c r="S49" s="4" t="n"/>
    </row>
  </sheetData>
  <autoFilter ref="A10:E10"/>
  <mergeCells count="6">
    <mergeCell ref="A2:L2"/>
    <mergeCell ref="E25:E26"/>
    <mergeCell ref="F8:L8"/>
    <mergeCell ref="M8:S8"/>
    <mergeCell ref="E4:J4"/>
    <mergeCell ref="A28:T28"/>
  </mergeCells>
  <conditionalFormatting sqref="F25:S25">
    <cfRule type="cellIs" priority="1" operator="lessThan" dxfId="1" stopIfTrue="1">
      <formula>F26</formula>
    </cfRule>
    <cfRule type="cellIs" priority="2" operator="greaterThan" dxfId="0" stopIfTrue="1">
      <formula>F26</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T48"/>
  <sheetViews>
    <sheetView topLeftCell="C1" workbookViewId="0">
      <selection activeCell="D17" sqref="D17"/>
    </sheetView>
  </sheetViews>
  <sheetFormatPr baseColWidth="8" defaultColWidth="11.4609375" defaultRowHeight="12.75"/>
  <cols>
    <col width="12.13671875" bestFit="1" customWidth="1" style="5" min="1" max="1"/>
    <col width="12.67578125" bestFit="1" customWidth="1" style="5" min="2" max="2"/>
    <col width="32.76953125" bestFit="1" customWidth="1" style="6" min="3" max="3"/>
    <col width="20.359375" bestFit="1" customWidth="1" style="6" min="4" max="4"/>
    <col width="13.34765625" bestFit="1" customWidth="1" style="4" min="5" max="5"/>
    <col width="9.9765625" bestFit="1" customWidth="1" style="4" min="6" max="6"/>
    <col width="9.57421875" bestFit="1" customWidth="1" style="4" min="7" max="7"/>
    <col width="10.24609375" bestFit="1" customWidth="1" style="4" min="8" max="8"/>
    <col width="9.57421875" bestFit="1" customWidth="1" style="4" min="9" max="9"/>
    <col width="8.62890625" bestFit="1" customWidth="1" style="4" min="10" max="10"/>
    <col width="9.16796875" bestFit="1" customWidth="1" style="4" min="11" max="11"/>
    <col width="9.70703125" bestFit="1" customWidth="1" style="4" min="12" max="12"/>
    <col width="9.9765625" bestFit="1" customWidth="1" style="5" min="13" max="13"/>
    <col width="9.57421875" bestFit="1" customWidth="1" style="5" min="14" max="14"/>
    <col width="10.24609375" bestFit="1" customWidth="1" style="5" min="15" max="15"/>
    <col width="9.57421875" bestFit="1" customWidth="1" style="5" min="16" max="16"/>
    <col width="8.62890625" bestFit="1" customWidth="1" style="5" min="17" max="17"/>
    <col width="9.16796875" bestFit="1" customWidth="1" style="5" min="18" max="18"/>
    <col width="9.70703125" bestFit="1" customWidth="1" style="5" min="19" max="19"/>
    <col width="16.5859375" bestFit="1" customWidth="1" style="5" min="20" max="20"/>
    <col width="11.4609375" customWidth="1" style="5" min="21" max="16384"/>
  </cols>
  <sheetData>
    <row r="2" ht="18" customHeight="1" s="172">
      <c r="A2" s="156">
        <f>CONCATENATE("Sprint #",E5, "Tracking Sheet")</f>
        <v/>
      </c>
    </row>
    <row r="4" s="172">
      <c r="A4" s="2" t="n"/>
      <c r="B4" s="5" t="n"/>
      <c r="C4" s="29" t="inlineStr">
        <is>
          <t>Project</t>
        </is>
      </c>
      <c r="D4" s="47" t="n"/>
      <c r="E4" s="187" t="inlineStr">
        <is>
          <t>AceReads</t>
        </is>
      </c>
      <c r="F4" s="188" t="n"/>
      <c r="G4" s="188" t="n"/>
      <c r="H4" s="188" t="n"/>
      <c r="I4" s="188" t="n"/>
      <c r="J4" s="189" t="n"/>
    </row>
    <row r="5">
      <c r="C5" s="11" t="inlineStr">
        <is>
          <t>Sprint #</t>
        </is>
      </c>
      <c r="D5" s="11" t="n"/>
      <c r="E5" s="22" t="n">
        <v>2</v>
      </c>
    </row>
    <row r="6">
      <c r="C6" s="11" t="inlineStr">
        <is>
          <t>Start date</t>
        </is>
      </c>
      <c r="D6" s="11" t="n"/>
      <c r="E6" s="23" t="n">
        <v>46188</v>
      </c>
    </row>
    <row r="7" ht="13.5" customHeight="1" s="172" thickBot="1">
      <c r="C7" s="3" t="n"/>
      <c r="D7" s="11" t="inlineStr">
        <is>
          <t>Total Team Members</t>
        </is>
      </c>
      <c r="E7" s="22" t="n">
        <v>5</v>
      </c>
    </row>
    <row r="8" ht="13.5" customHeight="1" s="172" thickBot="1">
      <c r="F8" s="190" t="inlineStr">
        <is>
          <t>week 1</t>
        </is>
      </c>
      <c r="G8" s="191" t="n"/>
      <c r="H8" s="191" t="n"/>
      <c r="I8" s="191" t="n"/>
      <c r="J8" s="191" t="n"/>
      <c r="K8" s="191" t="n"/>
      <c r="L8" s="192" t="n"/>
      <c r="M8" s="190" t="inlineStr">
        <is>
          <t>week 2</t>
        </is>
      </c>
      <c r="N8" s="191" t="n"/>
      <c r="O8" s="191" t="n"/>
      <c r="P8" s="191" t="n"/>
      <c r="Q8" s="191" t="n"/>
      <c r="R8" s="191" t="n"/>
      <c r="S8" s="192" t="n"/>
    </row>
    <row r="9" ht="13.5" customHeight="1" s="172" thickBot="1">
      <c r="F9" s="52" t="n">
        <v>1</v>
      </c>
      <c r="G9" s="53" t="n">
        <v>2</v>
      </c>
      <c r="H9" s="52" t="n">
        <v>3</v>
      </c>
      <c r="I9" s="53" t="n">
        <v>4</v>
      </c>
      <c r="J9" s="52" t="n">
        <v>5</v>
      </c>
      <c r="K9" s="53" t="n">
        <v>6</v>
      </c>
      <c r="L9" s="52" t="n">
        <v>7</v>
      </c>
      <c r="M9" s="53" t="n">
        <v>8</v>
      </c>
      <c r="N9" s="52" t="n">
        <v>9</v>
      </c>
      <c r="O9" s="53" t="n">
        <v>10</v>
      </c>
      <c r="P9" s="52" t="n">
        <v>11</v>
      </c>
      <c r="Q9" s="53" t="n">
        <v>12</v>
      </c>
      <c r="R9" s="52" t="n">
        <v>13</v>
      </c>
      <c r="S9" s="53" t="n">
        <v>14</v>
      </c>
    </row>
    <row r="10" customFormat="1" s="3">
      <c r="A10" s="17" t="inlineStr">
        <is>
          <t>Task ID</t>
        </is>
      </c>
      <c r="B10" s="19" t="inlineStr">
        <is>
          <t>Story ID</t>
        </is>
      </c>
      <c r="C10" s="18" t="inlineStr">
        <is>
          <t>Description</t>
        </is>
      </c>
      <c r="D10" s="48" t="inlineStr">
        <is>
          <t>Phillip Williams</t>
        </is>
      </c>
      <c r="E10" s="20" t="inlineStr">
        <is>
          <t>Initial estimate</t>
        </is>
      </c>
      <c r="F10" s="193">
        <f>E6</f>
        <v/>
      </c>
      <c r="G10" s="194">
        <f>F10+1</f>
        <v/>
      </c>
      <c r="H10" s="194">
        <f>G10+1</f>
        <v/>
      </c>
      <c r="I10" s="194">
        <f>H10+1</f>
        <v/>
      </c>
      <c r="J10" s="194">
        <f>I10+1</f>
        <v/>
      </c>
      <c r="K10" s="194">
        <f>J10+1</f>
        <v/>
      </c>
      <c r="L10" s="194">
        <f>K10+1</f>
        <v/>
      </c>
      <c r="M10" s="194">
        <f>L10+1</f>
        <v/>
      </c>
      <c r="N10" s="194">
        <f>M10+1</f>
        <v/>
      </c>
      <c r="O10" s="194">
        <f>N10+1</f>
        <v/>
      </c>
      <c r="P10" s="194">
        <f>O10+1</f>
        <v/>
      </c>
      <c r="Q10" s="194">
        <f>P10+1</f>
        <v/>
      </c>
      <c r="R10" s="194">
        <f>Q10+1</f>
        <v/>
      </c>
      <c r="S10" s="194">
        <f>R10+1</f>
        <v/>
      </c>
      <c r="T10" s="81" t="inlineStr">
        <is>
          <t>Phillip Williams</t>
        </is>
      </c>
    </row>
    <row r="11" customFormat="1" s="28">
      <c r="A11" s="25" t="inlineStr">
        <is>
          <t>T2-001</t>
        </is>
      </c>
      <c r="B11" s="26" t="inlineStr">
        <is>
          <t>EPIC-004</t>
        </is>
      </c>
      <c r="C11" s="27" t="inlineStr">
        <is>
          <t>Design shopping cart database schema</t>
        </is>
      </c>
      <c r="D11" s="49" t="inlineStr">
        <is>
          <t>Phillip Williams</t>
        </is>
      </c>
      <c r="E11" s="109" t="n">
        <v>6</v>
      </c>
      <c r="F11" s="110" t="n">
        <v>6</v>
      </c>
      <c r="G11" s="110" t="n">
        <v>5</v>
      </c>
      <c r="H11" s="110" t="n">
        <v>3</v>
      </c>
      <c r="I11" s="110" t="n">
        <v>0</v>
      </c>
      <c r="J11" s="111" t="n">
        <v>0</v>
      </c>
      <c r="K11" s="111" t="n">
        <v>0</v>
      </c>
      <c r="L11" s="111" t="n">
        <v>0</v>
      </c>
      <c r="M11" s="110" t="n">
        <v>0</v>
      </c>
      <c r="N11" s="110" t="n">
        <v>0</v>
      </c>
      <c r="O11" s="110" t="n">
        <v>0</v>
      </c>
      <c r="P11" s="110" t="n">
        <v>0</v>
      </c>
      <c r="Q11" s="111" t="n">
        <v>0</v>
      </c>
      <c r="R11" s="111" t="n">
        <v>0</v>
      </c>
      <c r="S11" s="111" t="n">
        <v>0</v>
      </c>
      <c r="T11" s="112" t="inlineStr">
        <is>
          <t>Phillip Williams</t>
        </is>
      </c>
    </row>
    <row r="12" ht="24" customFormat="1" customHeight="1" s="28">
      <c r="A12" s="25" t="inlineStr">
        <is>
          <t>T2-002</t>
        </is>
      </c>
      <c r="B12" s="26" t="inlineStr">
        <is>
          <t>EPIC-004</t>
        </is>
      </c>
      <c r="C12" s="27" t="inlineStr">
        <is>
          <t>Create shopping cart API (add/remove/update)</t>
        </is>
      </c>
      <c r="D12" s="49" t="inlineStr">
        <is>
          <t>Phillip Williams</t>
        </is>
      </c>
      <c r="E12" s="109" t="n">
        <v>10</v>
      </c>
      <c r="F12" s="110" t="n">
        <v>10</v>
      </c>
      <c r="G12" s="110" t="n">
        <v>10</v>
      </c>
      <c r="H12" s="110" t="n">
        <v>8</v>
      </c>
      <c r="I12" s="110" t="n">
        <v>6</v>
      </c>
      <c r="J12" s="111" t="n">
        <v>3</v>
      </c>
      <c r="K12" s="111" t="n">
        <v>0</v>
      </c>
      <c r="L12" s="111" t="n">
        <v>0</v>
      </c>
      <c r="M12" s="110" t="n">
        <v>0</v>
      </c>
      <c r="N12" s="110" t="n">
        <v>0</v>
      </c>
      <c r="O12" s="110" t="n">
        <v>0</v>
      </c>
      <c r="P12" s="110" t="n">
        <v>0</v>
      </c>
      <c r="Q12" s="111" t="n">
        <v>0</v>
      </c>
      <c r="R12" s="111" t="n">
        <v>0</v>
      </c>
      <c r="S12" s="111" t="n">
        <v>0</v>
      </c>
      <c r="T12" s="112" t="inlineStr">
        <is>
          <t>Phillip Williams</t>
        </is>
      </c>
    </row>
    <row r="13" customFormat="1" s="28">
      <c r="A13" s="25" t="inlineStr">
        <is>
          <t>T2-003</t>
        </is>
      </c>
      <c r="B13" s="42" t="inlineStr">
        <is>
          <t>EPIC-004</t>
        </is>
      </c>
      <c r="C13" s="27" t="inlineStr">
        <is>
          <t>Build shopping cart UI component</t>
        </is>
      </c>
      <c r="D13" s="49" t="inlineStr">
        <is>
          <t>Phillip Williams</t>
        </is>
      </c>
      <c r="E13" s="109" t="n">
        <v>8</v>
      </c>
      <c r="F13" s="110" t="n">
        <v>8</v>
      </c>
      <c r="G13" s="111" t="n">
        <v>8</v>
      </c>
      <c r="H13" s="111" t="n">
        <v>8</v>
      </c>
      <c r="I13" s="111" t="n">
        <v>6</v>
      </c>
      <c r="J13" s="111" t="n">
        <v>4</v>
      </c>
      <c r="K13" s="111" t="n">
        <v>0</v>
      </c>
      <c r="L13" s="111" t="n">
        <v>0</v>
      </c>
      <c r="M13" s="110" t="n">
        <v>2</v>
      </c>
      <c r="N13" s="111" t="n">
        <v>0</v>
      </c>
      <c r="O13" s="111" t="n">
        <v>0</v>
      </c>
      <c r="P13" s="111" t="n">
        <v>0</v>
      </c>
      <c r="Q13" s="111" t="n">
        <v>0</v>
      </c>
      <c r="R13" s="111" t="n">
        <v>0</v>
      </c>
      <c r="S13" s="111" t="n">
        <v>0</v>
      </c>
      <c r="T13" s="112" t="inlineStr">
        <is>
          <t>Phillip Williams</t>
        </is>
      </c>
    </row>
    <row r="14" ht="24" customFormat="1" customHeight="1" s="28">
      <c r="A14" s="25" t="inlineStr">
        <is>
          <t>T2-004</t>
        </is>
      </c>
      <c r="B14" s="42" t="inlineStr">
        <is>
          <t>EPIC-004</t>
        </is>
      </c>
      <c r="C14" s="27" t="inlineStr">
        <is>
          <t>Implement checkout flow &amp; order summary</t>
        </is>
      </c>
      <c r="D14" s="49" t="inlineStr">
        <is>
          <t>Phillip Williams</t>
        </is>
      </c>
      <c r="E14" s="109" t="n">
        <v>12</v>
      </c>
      <c r="F14" s="110" t="n">
        <v>12</v>
      </c>
      <c r="G14" s="111" t="n">
        <v>12</v>
      </c>
      <c r="H14" s="111" t="n">
        <v>12</v>
      </c>
      <c r="I14" s="111" t="n">
        <v>12</v>
      </c>
      <c r="J14" s="111" t="n">
        <v>10</v>
      </c>
      <c r="K14" s="111" t="n">
        <v>8</v>
      </c>
      <c r="L14" s="111" t="n">
        <v>5</v>
      </c>
      <c r="M14" s="110" t="n">
        <v>8</v>
      </c>
      <c r="N14" s="111" t="n">
        <v>6</v>
      </c>
      <c r="O14" s="111" t="n">
        <v>4</v>
      </c>
      <c r="P14" s="111" t="n">
        <v>2</v>
      </c>
      <c r="Q14" s="111" t="n">
        <v>0</v>
      </c>
      <c r="R14" s="111" t="n">
        <v>0</v>
      </c>
      <c r="S14" s="111" t="n">
        <v>0</v>
      </c>
      <c r="T14" s="112" t="inlineStr">
        <is>
          <t>Phillip Williams</t>
        </is>
      </c>
    </row>
    <row r="15" ht="24" customFormat="1" customHeight="1" s="28">
      <c r="A15" s="25" t="inlineStr">
        <is>
          <t>T2-005</t>
        </is>
      </c>
      <c r="B15" s="42" t="inlineStr">
        <is>
          <t>EPIC-005</t>
        </is>
      </c>
      <c r="C15" s="27" t="inlineStr">
        <is>
          <t>Integrate payment gateway (Stripe/PayPal)</t>
        </is>
      </c>
      <c r="D15" s="49" t="inlineStr">
        <is>
          <t>Ali Osman</t>
        </is>
      </c>
      <c r="E15" s="109" t="n">
        <v>14</v>
      </c>
      <c r="F15" s="110" t="n">
        <v>14</v>
      </c>
      <c r="G15" s="111" t="n">
        <v>14</v>
      </c>
      <c r="H15" s="111" t="n">
        <v>14</v>
      </c>
      <c r="I15" s="111" t="n">
        <v>14</v>
      </c>
      <c r="J15" s="111" t="n">
        <v>14</v>
      </c>
      <c r="K15" s="111" t="n">
        <v>12</v>
      </c>
      <c r="L15" s="111" t="n">
        <v>10</v>
      </c>
      <c r="M15" s="110" t="n">
        <v>14</v>
      </c>
      <c r="N15" s="111" t="n">
        <v>14</v>
      </c>
      <c r="O15" s="111" t="n">
        <v>12</v>
      </c>
      <c r="P15" s="111" t="n">
        <v>8</v>
      </c>
      <c r="Q15" s="111" t="n">
        <v>4</v>
      </c>
      <c r="R15" s="111" t="n">
        <v>0</v>
      </c>
      <c r="S15" s="111" t="n">
        <v>0</v>
      </c>
      <c r="T15" s="112" t="inlineStr">
        <is>
          <t>Tracy Pillow</t>
        </is>
      </c>
    </row>
    <row r="16" customFormat="1" s="28">
      <c r="A16" s="25" t="inlineStr">
        <is>
          <t>T2-006</t>
        </is>
      </c>
      <c r="B16" s="42" t="inlineStr">
        <is>
          <t>EPIC-005</t>
        </is>
      </c>
      <c r="C16" s="27" t="inlineStr">
        <is>
          <t>Build secure payment UI with validation</t>
        </is>
      </c>
      <c r="D16" s="49" t="inlineStr">
        <is>
          <t>Kyonna Robinson</t>
        </is>
      </c>
      <c r="E16" s="109" t="n">
        <v>8</v>
      </c>
      <c r="F16" s="110" t="n">
        <v>8</v>
      </c>
      <c r="G16" s="111" t="n">
        <v>8</v>
      </c>
      <c r="H16" s="111" t="n">
        <v>8</v>
      </c>
      <c r="I16" s="111" t="n">
        <v>8</v>
      </c>
      <c r="J16" s="111" t="n">
        <v>8</v>
      </c>
      <c r="K16" s="111" t="n">
        <v>8</v>
      </c>
      <c r="L16" s="111" t="n">
        <v>8</v>
      </c>
      <c r="M16" s="110" t="n">
        <v>6</v>
      </c>
      <c r="N16" s="111" t="n">
        <v>4</v>
      </c>
      <c r="O16" s="111" t="n">
        <v>2</v>
      </c>
      <c r="P16" s="111" t="n">
        <v>0</v>
      </c>
      <c r="Q16" s="111" t="n">
        <v>0</v>
      </c>
      <c r="R16" s="111" t="n">
        <v>0</v>
      </c>
      <c r="S16" s="111" t="n">
        <v>0</v>
      </c>
      <c r="T16" s="112" t="inlineStr">
        <is>
          <t>Tracy Pillow</t>
        </is>
      </c>
    </row>
    <row r="17" ht="24" customFormat="1" customHeight="1" s="8">
      <c r="A17" s="25" t="inlineStr">
        <is>
          <t>T2-007</t>
        </is>
      </c>
      <c r="B17" s="42" t="inlineStr">
        <is>
          <t>EPIC-005</t>
        </is>
      </c>
      <c r="C17" s="62" t="inlineStr">
        <is>
          <t>Implement payment confirmation &amp; receipts</t>
        </is>
      </c>
      <c r="D17" s="63" t="inlineStr">
        <is>
          <t>Ali Osman</t>
        </is>
      </c>
      <c r="E17" s="109" t="n">
        <v>6</v>
      </c>
      <c r="F17" s="110" t="n">
        <v>6</v>
      </c>
      <c r="G17" s="114" t="n">
        <v>6</v>
      </c>
      <c r="H17" s="114" t="n">
        <v>6</v>
      </c>
      <c r="I17" s="114" t="n">
        <v>6</v>
      </c>
      <c r="J17" s="114" t="n">
        <v>6</v>
      </c>
      <c r="K17" s="114" t="n">
        <v>6</v>
      </c>
      <c r="L17" s="114" t="n">
        <v>6</v>
      </c>
      <c r="M17" s="110" t="n">
        <v>4</v>
      </c>
      <c r="N17" s="114" t="n">
        <v>2</v>
      </c>
      <c r="O17" s="114" t="n">
        <v>0</v>
      </c>
      <c r="P17" s="114" t="n">
        <v>0</v>
      </c>
      <c r="Q17" s="114" t="n">
        <v>0</v>
      </c>
      <c r="R17" s="114" t="n">
        <v>0</v>
      </c>
      <c r="S17" s="114" t="n">
        <v>0</v>
      </c>
      <c r="T17" s="116" t="inlineStr">
        <is>
          <t>Tracy Pillow</t>
        </is>
      </c>
    </row>
    <row r="18" ht="24" customFormat="1" customHeight="1" s="8">
      <c r="A18" s="60" t="inlineStr">
        <is>
          <t>T2-008</t>
        </is>
      </c>
      <c r="B18" s="61" t="inlineStr">
        <is>
          <t>EPIC-006</t>
        </is>
      </c>
      <c r="C18" s="62" t="inlineStr">
        <is>
          <t>Create order management system backend</t>
        </is>
      </c>
      <c r="D18" s="62" t="inlineStr">
        <is>
          <t>Nathan Horstmeier</t>
        </is>
      </c>
      <c r="E18" s="139" t="n">
        <v>10</v>
      </c>
      <c r="F18" s="140" t="n">
        <v>10</v>
      </c>
      <c r="G18" s="115" t="n">
        <v>10</v>
      </c>
      <c r="H18" s="115" t="n">
        <v>10</v>
      </c>
      <c r="I18" s="114" t="n">
        <v>10</v>
      </c>
      <c r="J18" s="114" t="n">
        <v>10</v>
      </c>
      <c r="K18" s="114" t="n">
        <v>10</v>
      </c>
      <c r="L18" s="127" t="n">
        <v>10</v>
      </c>
      <c r="M18" s="141" t="n">
        <v>8</v>
      </c>
      <c r="N18" s="115" t="n">
        <v>6</v>
      </c>
      <c r="O18" s="114" t="n">
        <v>4</v>
      </c>
      <c r="P18" s="114" t="n">
        <v>2</v>
      </c>
      <c r="Q18" s="114" t="n">
        <v>0</v>
      </c>
      <c r="R18" s="114" t="n">
        <v>0</v>
      </c>
      <c r="S18" s="115" t="n">
        <v>0</v>
      </c>
      <c r="T18" s="116" t="inlineStr">
        <is>
          <t>Nathan Horstmeier</t>
        </is>
      </c>
    </row>
    <row r="19" ht="13.5" customHeight="1" s="172" thickBot="1">
      <c r="A19" s="54" t="inlineStr">
        <is>
          <t>T2-009</t>
        </is>
      </c>
      <c r="B19" s="55" t="inlineStr">
        <is>
          <t>EPIC-006</t>
        </is>
      </c>
      <c r="C19" s="64" t="inlineStr">
        <is>
          <t>Build order tracking UI for customers</t>
        </is>
      </c>
      <c r="D19" s="64" t="inlineStr">
        <is>
          <t>Nathan Horstmeier</t>
        </is>
      </c>
      <c r="E19" s="142" t="n">
        <v>10</v>
      </c>
      <c r="F19" s="134" t="n">
        <v>10</v>
      </c>
      <c r="G19" s="135" t="n">
        <v>10</v>
      </c>
      <c r="H19" s="135" t="n">
        <v>10</v>
      </c>
      <c r="I19" s="136" t="n">
        <v>10</v>
      </c>
      <c r="J19" s="136" t="n">
        <v>10</v>
      </c>
      <c r="K19" s="136" t="n">
        <v>10</v>
      </c>
      <c r="L19" s="143" t="n">
        <v>10</v>
      </c>
      <c r="M19" s="138" t="n">
        <v>8</v>
      </c>
      <c r="N19" s="135" t="n">
        <v>6</v>
      </c>
      <c r="O19" s="136" t="n">
        <v>4</v>
      </c>
      <c r="P19" s="136" t="n">
        <v>2</v>
      </c>
      <c r="Q19" s="136" t="n">
        <v>0</v>
      </c>
      <c r="R19" s="136" t="n">
        <v>0</v>
      </c>
      <c r="S19" s="135" t="n">
        <v>0</v>
      </c>
      <c r="T19" s="6" t="inlineStr">
        <is>
          <t>Nathan Horstmeier</t>
        </is>
      </c>
    </row>
    <row r="20" ht="24" customHeight="1" s="172">
      <c r="A20" s="5" t="inlineStr">
        <is>
          <t>T2-010</t>
        </is>
      </c>
      <c r="B20" s="5" t="inlineStr">
        <is>
          <t>RETRO</t>
        </is>
      </c>
      <c r="C20" s="6" t="inlineStr">
        <is>
          <t>Weekly code integration check-ins (Sprint 1 improvement)</t>
        </is>
      </c>
      <c r="D20" s="6" t="inlineStr">
        <is>
          <t>Tracy Pillow</t>
        </is>
      </c>
      <c r="E20" s="82" t="n">
        <v>2</v>
      </c>
      <c r="F20" s="82" t="n">
        <v>2</v>
      </c>
      <c r="G20" s="82" t="n">
        <v>2</v>
      </c>
      <c r="H20" s="82" t="n">
        <v>2</v>
      </c>
      <c r="I20" s="82" t="n">
        <v>1</v>
      </c>
      <c r="J20" s="82" t="n">
        <v>1</v>
      </c>
      <c r="K20" s="82" t="n">
        <v>1</v>
      </c>
      <c r="L20" s="82" t="n">
        <v>1</v>
      </c>
      <c r="M20" s="82" t="n">
        <v>1</v>
      </c>
      <c r="N20" s="82" t="n">
        <v>0</v>
      </c>
      <c r="O20" s="82" t="n">
        <v>0</v>
      </c>
      <c r="P20" s="82" t="n">
        <v>0</v>
      </c>
      <c r="Q20" s="82" t="n">
        <v>0</v>
      </c>
      <c r="R20" s="82" t="n">
        <v>0</v>
      </c>
      <c r="S20" s="82" t="n">
        <v>0</v>
      </c>
      <c r="T20" s="6" t="inlineStr">
        <is>
          <t>Tracy Pillow</t>
        </is>
      </c>
    </row>
    <row r="21">
      <c r="A21" s="96" t="inlineStr">
        <is>
          <t>T2-011</t>
        </is>
      </c>
      <c r="B21" s="97" t="inlineStr">
        <is>
          <t>NONDEV</t>
        </is>
      </c>
      <c r="C21" s="98" t="inlineStr">
        <is>
          <t>Sprint 2 plan review/refinement meeting</t>
        </is>
      </c>
      <c r="D21" s="98" t="inlineStr">
        <is>
          <t>Tracy Pillow</t>
        </is>
      </c>
      <c r="E21" s="144" t="n">
        <v>2</v>
      </c>
      <c r="F21" s="144" t="n">
        <v>2</v>
      </c>
      <c r="G21" s="144" t="n">
        <v>0</v>
      </c>
      <c r="H21" s="144" t="n">
        <v>0</v>
      </c>
      <c r="I21" s="144" t="n">
        <v>0</v>
      </c>
      <c r="J21" s="144" t="n">
        <v>0</v>
      </c>
      <c r="K21" s="144" t="n">
        <v>0</v>
      </c>
      <c r="L21" s="144" t="n">
        <v>0</v>
      </c>
      <c r="M21" s="144" t="n">
        <v>0</v>
      </c>
      <c r="N21" s="144" t="n">
        <v>0</v>
      </c>
      <c r="O21" s="144" t="n">
        <v>0</v>
      </c>
      <c r="P21" s="144" t="n">
        <v>0</v>
      </c>
      <c r="Q21" s="144" t="n">
        <v>0</v>
      </c>
      <c r="R21" s="144" t="n">
        <v>0</v>
      </c>
      <c r="S21" s="144" t="n">
        <v>0</v>
      </c>
      <c r="T21" s="145" t="inlineStr">
        <is>
          <t>Tracy Pillow</t>
        </is>
      </c>
    </row>
    <row r="22">
      <c r="A22" s="96" t="inlineStr">
        <is>
          <t>T2-012</t>
        </is>
      </c>
      <c r="B22" s="97" t="inlineStr">
        <is>
          <t>NONDEV</t>
        </is>
      </c>
      <c r="C22" s="98" t="inlineStr">
        <is>
          <t>Team communication/status updates</t>
        </is>
      </c>
      <c r="D22" s="98" t="inlineStr">
        <is>
          <t>Tracy Pillow</t>
        </is>
      </c>
      <c r="E22" s="144" t="n">
        <v>2</v>
      </c>
      <c r="F22" s="144" t="n">
        <v>2</v>
      </c>
      <c r="G22" s="144" t="n">
        <v>2</v>
      </c>
      <c r="H22" s="144" t="n">
        <v>1</v>
      </c>
      <c r="I22" s="144" t="n">
        <v>1</v>
      </c>
      <c r="J22" s="144" t="n">
        <v>0</v>
      </c>
      <c r="K22" s="144" t="n">
        <v>0</v>
      </c>
      <c r="L22" s="144" t="n">
        <v>0</v>
      </c>
      <c r="M22" s="144" t="n">
        <v>0</v>
      </c>
      <c r="N22" s="144" t="n">
        <v>0</v>
      </c>
      <c r="O22" s="144" t="n">
        <v>0</v>
      </c>
      <c r="P22" s="144" t="n">
        <v>0</v>
      </c>
      <c r="Q22" s="144" t="n">
        <v>0</v>
      </c>
      <c r="R22" s="144" t="n">
        <v>0</v>
      </c>
      <c r="S22" s="144" t="n">
        <v>0</v>
      </c>
      <c r="T22" s="145" t="inlineStr">
        <is>
          <t>Tracy Pillow</t>
        </is>
      </c>
    </row>
    <row r="23" ht="24" customHeight="1" s="172">
      <c r="A23" s="96" t="inlineStr">
        <is>
          <t>T2-013</t>
        </is>
      </c>
      <c r="B23" s="97" t="inlineStr">
        <is>
          <t>NONDEV</t>
        </is>
      </c>
      <c r="C23" s="98" t="inlineStr">
        <is>
          <t>Git, ZIP organization, and submission prep</t>
        </is>
      </c>
      <c r="D23" s="98" t="inlineStr">
        <is>
          <t>Tracy Pillow</t>
        </is>
      </c>
      <c r="E23" s="144" t="n">
        <v>3</v>
      </c>
      <c r="F23" s="144" t="n">
        <v>3</v>
      </c>
      <c r="G23" s="144" t="n">
        <v>3</v>
      </c>
      <c r="H23" s="144" t="n">
        <v>3</v>
      </c>
      <c r="I23" s="144" t="n">
        <v>2</v>
      </c>
      <c r="J23" s="144" t="n">
        <v>1</v>
      </c>
      <c r="K23" s="144" t="n">
        <v>0</v>
      </c>
      <c r="L23" s="144" t="n">
        <v>0</v>
      </c>
      <c r="M23" s="144" t="n">
        <v>0</v>
      </c>
      <c r="N23" s="144" t="n">
        <v>0</v>
      </c>
      <c r="O23" s="144" t="n">
        <v>0</v>
      </c>
      <c r="P23" s="144" t="n">
        <v>0</v>
      </c>
      <c r="Q23" s="144" t="n">
        <v>0</v>
      </c>
      <c r="R23" s="144" t="n">
        <v>0</v>
      </c>
      <c r="S23" s="144" t="n">
        <v>0</v>
      </c>
      <c r="T23" s="145" t="inlineStr">
        <is>
          <t>Tracy Pillow</t>
        </is>
      </c>
    </row>
    <row r="24">
      <c r="A24" s="101" t="n"/>
      <c r="B24" s="101" t="n"/>
      <c r="C24" s="51" t="inlineStr">
        <is>
          <t>Remaining units (actual)</t>
        </is>
      </c>
      <c r="D24" s="99" t="n"/>
      <c r="E24" s="164">
        <f>SUM(E11:E23)</f>
        <v/>
      </c>
      <c r="F24" s="100">
        <f>SUM(F11:F23)</f>
        <v/>
      </c>
      <c r="G24" s="100">
        <f>SUM(G11:G23)</f>
        <v/>
      </c>
      <c r="H24" s="100">
        <f>SUM(H11:H23)</f>
        <v/>
      </c>
      <c r="I24" s="100">
        <f>SUM(I11:I23)</f>
        <v/>
      </c>
      <c r="J24" s="100">
        <f>SUM(J11:J23)</f>
        <v/>
      </c>
      <c r="K24" s="100">
        <f>SUM(K11:K23)</f>
        <v/>
      </c>
      <c r="L24" s="100">
        <f>SUM(L11:L23)</f>
        <v/>
      </c>
      <c r="M24" s="100">
        <f>SUM(M11:M23)</f>
        <v/>
      </c>
      <c r="N24" s="100">
        <f>SUM(N11:N23)</f>
        <v/>
      </c>
      <c r="O24" s="100">
        <f>SUM(O11:O23)</f>
        <v/>
      </c>
      <c r="P24" s="100">
        <f>SUM(P11:P23)</f>
        <v/>
      </c>
      <c r="Q24" s="100">
        <f>SUM(Q11:Q23)</f>
        <v/>
      </c>
      <c r="R24" s="100">
        <f>SUM(R11:R23)</f>
        <v/>
      </c>
      <c r="S24" s="100">
        <f>SUM(S11:S23)</f>
        <v/>
      </c>
    </row>
    <row r="25">
      <c r="A25" s="101" t="n"/>
      <c r="B25" s="101" t="n"/>
      <c r="C25" s="12" t="inlineStr">
        <is>
          <t>Remaining units (ideal)</t>
        </is>
      </c>
      <c r="D25" s="51" t="n"/>
      <c r="E25" s="199" t="n"/>
      <c r="F25" s="200">
        <f>$E$24*(14-(F$9-1))/14</f>
        <v/>
      </c>
      <c r="G25" s="200">
        <f>$E$24*(14-(G$9-1))/14</f>
        <v/>
      </c>
      <c r="H25" s="200">
        <f>$E$24*(14-(H$9-1))/14</f>
        <v/>
      </c>
      <c r="I25" s="200">
        <f>$E$24*(14-(I$9-1))/14</f>
        <v/>
      </c>
      <c r="J25" s="200">
        <f>$E$24*(14-(J$9-1))/14</f>
        <v/>
      </c>
      <c r="K25" s="200">
        <f>$E$24*(14-(K$9-1))/14</f>
        <v/>
      </c>
      <c r="L25" s="200">
        <f>$E$24*(14-(L$9-1))/14</f>
        <v/>
      </c>
      <c r="M25" s="200">
        <f>$E$24*(14-(M$9-1))/14</f>
        <v/>
      </c>
      <c r="N25" s="200">
        <f>$E$24*(14-(N$9-1))/14</f>
        <v/>
      </c>
      <c r="O25" s="200">
        <f>$E$24*(14-(O$9-1))/14</f>
        <v/>
      </c>
      <c r="P25" s="200">
        <f>$E$24*(14-(P$9-1))/14</f>
        <v/>
      </c>
      <c r="Q25" s="200">
        <f>$E$24*(14-(Q$9-1))/14</f>
        <v/>
      </c>
      <c r="R25" s="200">
        <f>$E$24*(14-(R$9-1))/14</f>
        <v/>
      </c>
      <c r="S25" s="200">
        <f>$E$24*(14-(S$9-1))/14</f>
        <v/>
      </c>
    </row>
    <row r="26">
      <c r="M26" s="4" t="n"/>
      <c r="N26" s="4" t="n"/>
      <c r="O26" s="4" t="n"/>
      <c r="P26" s="4" t="n"/>
      <c r="Q26" s="4" t="n"/>
      <c r="R26" s="4" t="n"/>
      <c r="S26" s="4" t="n"/>
    </row>
    <row r="27">
      <c r="M27" s="4" t="n"/>
      <c r="N27" s="4" t="n"/>
      <c r="O27" s="4" t="n"/>
      <c r="P27" s="4" t="n"/>
      <c r="Q27" s="4" t="n"/>
      <c r="R27" s="4" t="n"/>
      <c r="S27" s="4" t="n"/>
    </row>
    <row r="28">
      <c r="M28" s="4" t="n"/>
      <c r="N28" s="4" t="n"/>
      <c r="O28" s="4" t="n"/>
      <c r="P28" s="4" t="n"/>
      <c r="Q28" s="4" t="n"/>
      <c r="R28" s="4" t="n"/>
      <c r="S28" s="4" t="n"/>
    </row>
    <row r="29">
      <c r="M29" s="4" t="n"/>
      <c r="N29" s="4" t="n"/>
      <c r="O29" s="4" t="n"/>
      <c r="P29" s="4" t="n"/>
      <c r="Q29" s="4" t="n"/>
      <c r="R29" s="4" t="n"/>
      <c r="S29" s="4" t="n"/>
    </row>
    <row r="30">
      <c r="K30" s="7" t="n">
        <v>0</v>
      </c>
      <c r="L30" s="4">
        <f>SUM(E11:E20)</f>
        <v/>
      </c>
      <c r="M30" s="4" t="n"/>
      <c r="N30" s="4" t="n"/>
      <c r="O30" s="4" t="n"/>
      <c r="P30" s="4" t="n"/>
      <c r="Q30" s="4" t="n"/>
      <c r="R30" s="7" t="n">
        <v>0</v>
      </c>
      <c r="S30" s="4">
        <f>SUM(L11:L20)</f>
        <v/>
      </c>
    </row>
    <row r="31">
      <c r="A31" s="6" t="n"/>
      <c r="B31" s="6" t="n"/>
      <c r="E31" s="82" t="n"/>
      <c r="F31" s="82" t="n"/>
      <c r="G31" s="82" t="n"/>
      <c r="H31" s="82" t="n"/>
      <c r="I31" s="82" t="n"/>
      <c r="J31" s="82" t="n"/>
      <c r="K31" s="83" t="n">
        <v>10</v>
      </c>
      <c r="L31" s="83" t="n">
        <v>0</v>
      </c>
      <c r="M31" s="82" t="n"/>
      <c r="N31" s="82" t="n"/>
      <c r="O31" s="82" t="n"/>
      <c r="P31" s="82" t="n"/>
      <c r="Q31" s="82" t="n"/>
      <c r="R31" s="83" t="n">
        <v>10</v>
      </c>
      <c r="S31" s="83" t="n">
        <v>0</v>
      </c>
      <c r="T31" s="6" t="n"/>
    </row>
    <row r="32">
      <c r="A32" s="6" t="n"/>
      <c r="B32" s="6" t="n"/>
      <c r="E32" s="82" t="n"/>
      <c r="F32" s="82" t="n"/>
      <c r="G32" s="82" t="n"/>
      <c r="H32" s="82" t="n"/>
      <c r="I32" s="82" t="n"/>
      <c r="J32" s="82" t="n"/>
      <c r="K32" s="82" t="n"/>
      <c r="L32" s="82" t="n"/>
      <c r="M32" s="82" t="n"/>
      <c r="N32" s="82" t="n"/>
      <c r="O32" s="82" t="n"/>
      <c r="P32" s="82" t="n"/>
      <c r="Q32" s="82" t="n"/>
      <c r="R32" s="82" t="n"/>
      <c r="S32" s="82" t="n"/>
      <c r="T32" s="6" t="n"/>
    </row>
    <row r="33">
      <c r="A33" s="155" t="inlineStr">
        <is>
          <t>Actual completion note: EPIC-004 shopping cart tasks are assigned to Phillip Williams. Phillip is responsible for shopping cart schema/API/UI/checkout flow proof, screenshots, and final integration support for Sprint 2.</t>
        </is>
      </c>
    </row>
    <row r="34">
      <c r="M34" s="4" t="n"/>
      <c r="N34" s="4" t="n"/>
      <c r="O34" s="4" t="n"/>
      <c r="P34" s="4" t="n"/>
      <c r="Q34" s="4" t="n"/>
      <c r="R34" s="4" t="n"/>
      <c r="S34" s="4" t="n"/>
    </row>
    <row r="35">
      <c r="M35" s="4" t="n"/>
      <c r="N35" s="4" t="n"/>
      <c r="O35" s="4" t="n"/>
      <c r="P35" s="4" t="n"/>
      <c r="Q35" s="4" t="n"/>
      <c r="R35" s="4" t="n"/>
      <c r="S35" s="4" t="n"/>
    </row>
    <row r="36">
      <c r="M36" s="4" t="n"/>
      <c r="N36" s="4" t="n"/>
      <c r="O36" s="4" t="n"/>
      <c r="P36" s="4" t="n"/>
      <c r="Q36" s="4" t="n"/>
      <c r="R36" s="4" t="n"/>
      <c r="S36" s="4" t="n"/>
    </row>
    <row r="37">
      <c r="M37" s="4" t="n"/>
      <c r="N37" s="4" t="n"/>
      <c r="O37" s="4" t="n"/>
      <c r="P37" s="4" t="n"/>
      <c r="Q37" s="4" t="n"/>
      <c r="R37" s="4" t="n"/>
      <c r="S37" s="4" t="n"/>
    </row>
    <row r="38">
      <c r="M38" s="4" t="n"/>
      <c r="N38" s="4" t="n"/>
      <c r="O38" s="4" t="n"/>
      <c r="P38" s="4" t="n"/>
      <c r="Q38" s="4" t="n"/>
      <c r="R38" s="4" t="n"/>
      <c r="S38" s="4" t="n"/>
    </row>
    <row r="39">
      <c r="M39" s="4" t="n"/>
      <c r="N39" s="4" t="n"/>
      <c r="O39" s="4" t="n"/>
      <c r="P39" s="4" t="n"/>
      <c r="Q39" s="4" t="n"/>
      <c r="R39" s="4" t="n"/>
      <c r="S39" s="4" t="n"/>
    </row>
    <row r="40">
      <c r="M40" s="4" t="n"/>
      <c r="N40" s="4" t="n"/>
      <c r="O40" s="4" t="n"/>
      <c r="P40" s="4" t="n"/>
      <c r="Q40" s="4" t="n"/>
      <c r="R40" s="4" t="n"/>
      <c r="S40" s="4" t="n"/>
    </row>
    <row r="41">
      <c r="M41" s="4" t="n"/>
      <c r="N41" s="4" t="n"/>
      <c r="O41" s="4" t="n"/>
      <c r="P41" s="4" t="n"/>
      <c r="Q41" s="4" t="n"/>
      <c r="R41" s="4" t="n"/>
      <c r="S41" s="4" t="n"/>
    </row>
    <row r="42">
      <c r="M42" s="4" t="n"/>
      <c r="N42" s="4" t="n"/>
      <c r="O42" s="4" t="n"/>
      <c r="P42" s="4" t="n"/>
      <c r="Q42" s="4" t="n"/>
      <c r="R42" s="4" t="n"/>
      <c r="S42" s="4" t="n"/>
    </row>
    <row r="43">
      <c r="M43" s="4" t="n"/>
      <c r="N43" s="4" t="n"/>
      <c r="O43" s="4" t="n"/>
      <c r="P43" s="4" t="n"/>
      <c r="Q43" s="4" t="n"/>
      <c r="R43" s="4" t="n"/>
      <c r="S43" s="4" t="n"/>
    </row>
    <row r="44">
      <c r="M44" s="4" t="n"/>
      <c r="N44" s="4" t="n"/>
      <c r="O44" s="4" t="n"/>
      <c r="P44" s="4" t="n"/>
      <c r="Q44" s="4" t="n"/>
      <c r="R44" s="4" t="n"/>
      <c r="S44" s="4" t="n"/>
    </row>
    <row r="45">
      <c r="M45" s="4" t="n"/>
      <c r="N45" s="4" t="n"/>
      <c r="O45" s="4" t="n"/>
      <c r="P45" s="4" t="n"/>
      <c r="Q45" s="4" t="n"/>
      <c r="R45" s="4" t="n"/>
      <c r="S45" s="4" t="n"/>
    </row>
    <row r="46">
      <c r="M46" s="4" t="n"/>
      <c r="N46" s="4" t="n"/>
      <c r="O46" s="4" t="n"/>
      <c r="P46" s="4" t="n"/>
      <c r="Q46" s="4" t="n"/>
      <c r="R46" s="4" t="n"/>
      <c r="S46" s="4" t="n"/>
    </row>
    <row r="47">
      <c r="M47" s="4" t="n"/>
      <c r="N47" s="4" t="n"/>
      <c r="O47" s="4" t="n"/>
      <c r="P47" s="4" t="n"/>
      <c r="Q47" s="4" t="n"/>
      <c r="R47" s="4" t="n"/>
      <c r="S47" s="4" t="n"/>
    </row>
    <row r="48">
      <c r="M48" s="4" t="n"/>
      <c r="N48" s="4" t="n"/>
      <c r="O48" s="4" t="n"/>
      <c r="P48" s="4" t="n"/>
      <c r="Q48" s="4" t="n"/>
      <c r="R48" s="4" t="n"/>
      <c r="S48" s="4" t="n"/>
    </row>
  </sheetData>
  <mergeCells count="6">
    <mergeCell ref="A2:L2"/>
    <mergeCell ref="F8:L8"/>
    <mergeCell ref="M8:S8"/>
    <mergeCell ref="A33:T33"/>
    <mergeCell ref="E4:J4"/>
    <mergeCell ref="E24:E25"/>
  </mergeCells>
  <conditionalFormatting sqref="F24:S24">
    <cfRule type="cellIs" priority="1" operator="lessThan" dxfId="1" stopIfTrue="1">
      <formula>F25</formula>
    </cfRule>
    <cfRule type="cellIs" priority="2" operator="greaterThan" dxfId="0" stopIfTrue="1">
      <formula>F25</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20" customWidth="1" style="172" min="1" max="1"/>
    <col width="12" customWidth="1" style="172" min="2" max="2"/>
    <col width="55" customWidth="1" style="172" min="3" max="3"/>
    <col width="14" customWidth="1" style="172" min="4" max="4"/>
    <col width="14" customWidth="1" style="172" min="5" max="5"/>
    <col width="55" customWidth="1" style="172" min="6" max="6"/>
  </cols>
  <sheetData>
    <row r="1" ht="24" customHeight="1" s="172">
      <c r="A1" s="201" t="inlineStr">
        <is>
          <t>Sprint #1 Retrospective Summary Report</t>
        </is>
      </c>
    </row>
    <row r="3">
      <c r="A3" s="202" t="inlineStr">
        <is>
          <t>Project:</t>
        </is>
      </c>
      <c r="B3" s="6" t="inlineStr">
        <is>
          <t>AceReads</t>
        </is>
      </c>
    </row>
    <row r="4">
      <c r="A4" s="202" t="inlineStr">
        <is>
          <t>Sprint #:</t>
        </is>
      </c>
      <c r="B4" s="6" t="inlineStr">
        <is>
          <t>1</t>
        </is>
      </c>
    </row>
    <row r="5">
      <c r="A5" s="202" t="inlineStr">
        <is>
          <t>Sprint Duration:</t>
        </is>
      </c>
      <c r="B5" s="6" t="inlineStr">
        <is>
          <t>June 8 – June 21, 2026 (2 weeks)</t>
        </is>
      </c>
    </row>
    <row r="6">
      <c r="A6" s="202" t="inlineStr">
        <is>
          <t>Sprint Goal:</t>
        </is>
      </c>
      <c r="B6" s="6" t="inlineStr">
        <is>
          <t>User Registration, Book Inventory &amp; Search Functionality</t>
        </is>
      </c>
    </row>
    <row r="7">
      <c r="A7" s="202" t="inlineStr">
        <is>
          <t>Date Completed:</t>
        </is>
      </c>
      <c r="B7" s="6" t="inlineStr">
        <is>
          <t>June 21, 2026</t>
        </is>
      </c>
    </row>
    <row r="9">
      <c r="A9" s="203" t="inlineStr">
        <is>
          <t>WHAT WORKED WELL</t>
        </is>
      </c>
    </row>
    <row r="10" ht="30" customHeight="1" s="172">
      <c r="A10" s="6" t="inlineStr">
        <is>
          <t>1. All 13 sprint tasks were completed on time, achieving 100% completion rate across the team.</t>
        </is>
      </c>
    </row>
    <row r="11" ht="30" customHeight="1" s="172">
      <c r="A11" s="6" t="inlineStr">
        <is>
          <t>2. Core Sprint 1 deliverables — user registration, book inventory, and search — are functional and integrated.</t>
        </is>
      </c>
    </row>
    <row r="12" ht="30" customHeight="1" s="172">
      <c r="A12" s="6" t="inlineStr">
        <is>
          <t>3. Team members adapted well to shifting priorities; tasks were redistributed as needed and still delivered on schedule.</t>
        </is>
      </c>
    </row>
    <row r="13" ht="30" customHeight="1" s="172">
      <c r="A13" s="6" t="inlineStr">
        <is>
          <t>4. Sprint velocity of 104 story points establishes a strong baseline for planning future sprints.</t>
        </is>
      </c>
    </row>
    <row r="14" ht="30" customHeight="1" s="172">
      <c r="A14" s="6" t="inlineStr">
        <is>
          <t>5. Individual components developed independently came together successfully through integration work at the end of the sprint.</t>
        </is>
      </c>
    </row>
    <row r="16">
      <c r="A16" s="203" t="inlineStr">
        <is>
          <t>WHAT DID NOT WORK WELL</t>
        </is>
      </c>
    </row>
    <row r="17" ht="30" customHeight="1" s="172">
      <c r="A17" s="6" t="inlineStr">
        <is>
          <t>1. Task ownership was not always clearly defined at the start of the sprint, requiring mid-sprint adjustments to workload distribution.</t>
        </is>
      </c>
    </row>
    <row r="18" ht="30" customHeight="1" s="172">
      <c r="A18" s="6" t="inlineStr">
        <is>
          <t>2. Team members joined and onboarded at different points in the sprint cycle, making it difficult to align everyone on scope and responsibilities from day one.</t>
        </is>
      </c>
    </row>
    <row r="19" ht="30" customHeight="1" s="172">
      <c r="A19" s="6" t="inlineStr">
        <is>
          <t>3. Each team member developed their piece independently without a shared communication rhythm, so integration work at the end required extra effort to reconcile differences.</t>
        </is>
      </c>
    </row>
    <row r="20" ht="30" customHeight="1" s="172">
      <c r="A20" s="6" t="inlineStr">
        <is>
          <t>4. Acceptance criteria in the backlog were not always specific enough, leading to some ambiguity about what "done" looked like for individual tasks.</t>
        </is>
      </c>
    </row>
    <row r="21" ht="30" customHeight="1" s="172">
      <c r="A21" s="6" t="inlineStr">
        <is>
          <t>5. Without regular check-ins, small blockers went unresolved longer than necessary and were only surfaced during weekly touchpoints.</t>
        </is>
      </c>
    </row>
    <row r="23">
      <c r="A23" s="203" t="inlineStr">
        <is>
          <t>HOW THE TEAM WILL IMPROVE</t>
        </is>
      </c>
    </row>
    <row r="24">
      <c r="A24" s="204" t="inlineStr">
        <is>
          <t>#</t>
        </is>
      </c>
      <c r="B24" s="204" t="inlineStr">
        <is>
          <t>Action Item</t>
        </is>
      </c>
      <c r="C24" s="204" t="inlineStr">
        <is>
          <t>Owner</t>
        </is>
      </c>
      <c r="D24" s="204" t="inlineStr">
        <is>
          <t>Target Date</t>
        </is>
      </c>
      <c r="E24" s="204" t="inlineStr">
        <is>
          <t>Status</t>
        </is>
      </c>
      <c r="F24" s="204" t="inlineStr">
        <is>
          <t>Expected Impact</t>
        </is>
      </c>
    </row>
    <row r="25" ht="30" customHeight="1" s="172">
      <c r="A25" s="6" t="inlineStr">
        <is>
          <t>1</t>
        </is>
      </c>
      <c r="B25" s="6" t="inlineStr">
        <is>
          <t>Establish daily 15-min standup meetings (in-person or virtual)</t>
        </is>
      </c>
      <c r="C25" s="6" t="inlineStr">
        <is>
          <t>Scrum Master</t>
        </is>
      </c>
      <c r="D25" s="6" t="inlineStr">
        <is>
          <t>Sprint 2 Day 1</t>
        </is>
      </c>
      <c r="E25" s="6" t="inlineStr">
        <is>
          <t>Scheduled</t>
        </is>
      </c>
      <c r="F25" s="6" t="inlineStr">
        <is>
          <t>Eliminates blocker buildup; ensures daily progress visibility</t>
        </is>
      </c>
    </row>
    <row r="26" ht="30" customHeight="1" s="172">
      <c r="A26" s="205" t="inlineStr">
        <is>
          <t>2</t>
        </is>
      </c>
      <c r="B26" s="205" t="inlineStr">
        <is>
          <t>Create shared task board with clear ownership visible to all members</t>
        </is>
      </c>
      <c r="C26" s="205" t="inlineStr">
        <is>
          <t>Scrum Master</t>
        </is>
      </c>
      <c r="D26" s="205" t="inlineStr">
        <is>
          <t>Sprint 2 Day 1</t>
        </is>
      </c>
      <c r="E26" s="205" t="inlineStr">
        <is>
          <t>In Progress</t>
        </is>
      </c>
      <c r="F26" s="205" t="inlineStr">
        <is>
          <t>Single source of truth for task ownership reduces confusion</t>
        </is>
      </c>
    </row>
    <row r="27" ht="30" customHeight="1" s="172">
      <c r="A27" s="6" t="inlineStr">
        <is>
          <t>3</t>
        </is>
      </c>
      <c r="B27" s="6" t="inlineStr">
        <is>
          <t>Document onboarding checklist for any new team members added mid-project</t>
        </is>
      </c>
      <c r="C27" s="6" t="inlineStr">
        <is>
          <t>Product Owner</t>
        </is>
      </c>
      <c r="D27" s="6" t="inlineStr">
        <is>
          <t>Sprint 2 Day 3</t>
        </is>
      </c>
      <c r="E27" s="6" t="inlineStr">
        <is>
          <t>Planned</t>
        </is>
      </c>
      <c r="F27" s="6" t="inlineStr">
        <is>
          <t>Reduces ramp-up time for future additions; ensures consistent process</t>
        </is>
      </c>
    </row>
    <row r="28" ht="30" customHeight="1" s="172">
      <c r="A28" s="205" t="inlineStr">
        <is>
          <t>4</t>
        </is>
      </c>
      <c r="B28" s="205" t="inlineStr">
        <is>
          <t>Review and update task descriptions in backlog before each sprint</t>
        </is>
      </c>
      <c r="C28" s="205" t="inlineStr">
        <is>
          <t>Product Owner</t>
        </is>
      </c>
      <c r="D28" s="205" t="inlineStr">
        <is>
          <t>Before Sprint 3</t>
        </is>
      </c>
      <c r="E28" s="205" t="inlineStr">
        <is>
          <t>Planned</t>
        </is>
      </c>
      <c r="F28" s="205" t="inlineStr">
        <is>
          <t>Clearer acceptance criteria reduces ambiguity and rework time</t>
        </is>
      </c>
    </row>
    <row r="29" ht="30" customHeight="1" s="172">
      <c r="A29" s="6" t="inlineStr">
        <is>
          <t>5</t>
        </is>
      </c>
      <c r="B29" s="6" t="inlineStr">
        <is>
          <t>Set up team communication channel for real-time updates and questions</t>
        </is>
      </c>
      <c r="C29" s="6" t="inlineStr">
        <is>
          <t>Development Team</t>
        </is>
      </c>
      <c r="D29" s="6" t="inlineStr">
        <is>
          <t>Sprint 2 Day 1</t>
        </is>
      </c>
      <c r="E29" s="6" t="inlineStr">
        <is>
          <t>Completed</t>
        </is>
      </c>
      <c r="F29" s="6" t="inlineStr">
        <is>
          <t>Real-time async communication reduces delays and gaps</t>
        </is>
      </c>
    </row>
    <row r="31">
      <c r="A31" s="203" t="inlineStr">
        <is>
          <t>SPRINT METRICS SUMMARY</t>
        </is>
      </c>
    </row>
    <row r="32">
      <c r="A32" s="202" t="inlineStr">
        <is>
          <t>Total Story Points Committed:</t>
        </is>
      </c>
      <c r="B32" s="6">
        <f>SUM('Sprint 1'!E11:E23)</f>
        <v/>
      </c>
    </row>
    <row r="33">
      <c r="A33" s="202" t="inlineStr">
        <is>
          <t>Story Points Completed:</t>
        </is>
      </c>
      <c r="B33" s="6">
        <f>B32</f>
        <v/>
      </c>
    </row>
    <row r="34">
      <c r="A34" s="202" t="inlineStr">
        <is>
          <t>Completion Rate:</t>
        </is>
      </c>
      <c r="B34" s="6" t="inlineStr">
        <is>
          <t>100%</t>
        </is>
      </c>
    </row>
    <row r="35">
      <c r="A35" s="202" t="inlineStr">
        <is>
          <t>Tasks Completed:</t>
        </is>
      </c>
      <c r="B35" s="6" t="inlineStr">
        <is>
          <t>13 of 13</t>
        </is>
      </c>
    </row>
    <row r="36">
      <c r="A36" s="202" t="inlineStr">
        <is>
          <t>Total Tasks:</t>
        </is>
      </c>
      <c r="B36" s="6" t="inlineStr">
        <is>
          <t>13</t>
        </is>
      </c>
    </row>
    <row r="37">
      <c r="A37" s="202" t="inlineStr">
        <is>
          <t>Sprint Velocity (pts/sprint):</t>
        </is>
      </c>
      <c r="B37" s="6">
        <f>B32</f>
        <v/>
      </c>
    </row>
    <row r="39">
      <c r="A39" s="203" t="inlineStr">
        <is>
          <t>TEAM PARTICIPATION</t>
        </is>
      </c>
    </row>
    <row r="40">
      <c r="A40" s="204" t="inlineStr">
        <is>
          <t>Team Member</t>
        </is>
      </c>
      <c r="B40" s="204" t="inlineStr">
        <is>
          <t>Tasks Assigned</t>
        </is>
      </c>
      <c r="C40" s="204" t="inlineStr">
        <is>
          <t>Notes</t>
        </is>
      </c>
      <c r="D40" s="204" t="inlineStr">
        <is>
          <t>Hours (Est)</t>
        </is>
      </c>
      <c r="E40" s="204" t="inlineStr">
        <is>
          <t>Tasks Completed</t>
        </is>
      </c>
      <c r="F40" s="204" t="inlineStr">
        <is>
          <t>Sprint 1 Role</t>
        </is>
      </c>
    </row>
    <row r="41" ht="35" customHeight="1" s="172">
      <c r="A41" s="6" t="inlineStr">
        <is>
          <t>Ali Osman</t>
        </is>
      </c>
      <c r="B41" s="6">
        <f>COUNTIF('Sprint 1'!D11:D23,A41)</f>
        <v/>
      </c>
      <c r="C41" s="6" t="inlineStr">
        <is>
          <t>Delivered assigned tasks on schedule; contributed to Sprint 2 planning.</t>
        </is>
      </c>
      <c r="D41" s="6" t="inlineStr">
        <is>
          <t>18</t>
        </is>
      </c>
      <c r="E41" s="6" t="inlineStr">
        <is>
          <t>2/2</t>
        </is>
      </c>
      <c r="F41" s="6" t="inlineStr">
        <is>
          <t>Registration &amp; Auth backend (T1-001, T1-002)</t>
        </is>
      </c>
    </row>
    <row r="42" ht="35" customHeight="1" s="172">
      <c r="A42" s="205" t="inlineStr">
        <is>
          <t>Kyonna Robinson</t>
        </is>
      </c>
      <c r="B42" s="205">
        <f>COUNTIF('Sprint 1'!D11:D23,A42)</f>
        <v/>
      </c>
      <c r="C42" s="205" t="inlineStr">
        <is>
          <t>Delivered UI components on schedule.</t>
        </is>
      </c>
      <c r="D42" s="205" t="inlineStr">
        <is>
          <t>14</t>
        </is>
      </c>
      <c r="E42" s="205" t="inlineStr">
        <is>
          <t>2/2</t>
        </is>
      </c>
      <c r="F42" s="205" t="inlineStr">
        <is>
          <t>UI development — Login page, search results page (T1-004, T1-011)</t>
        </is>
      </c>
    </row>
    <row r="43" ht="35" customHeight="1" s="172">
      <c r="A43" s="6" t="inlineStr">
        <is>
          <t>Juana Rodriguez</t>
        </is>
      </c>
      <c r="B43" s="6">
        <f>COUNTIF('Sprint 1'!D11:D23,A43)</f>
        <v/>
      </c>
      <c r="C43" s="6" t="inlineStr">
        <is>
          <t>Completed assigned backend and search tasks on schedule.</t>
        </is>
      </c>
      <c r="D43" s="6" t="inlineStr">
        <is>
          <t>26</t>
        </is>
      </c>
      <c r="E43" s="6" t="inlineStr">
        <is>
          <t>3/3</t>
        </is>
      </c>
      <c r="F43" s="6" t="inlineStr">
        <is>
          <t>Login system, search backend &amp; functionality (T1-003, T1-008, T1-010)</t>
        </is>
      </c>
    </row>
    <row r="44" ht="35" customHeight="1" s="172">
      <c r="A44" s="206" t="inlineStr">
        <is>
          <t>Nathan Horstmeier</t>
        </is>
      </c>
      <c r="B44" s="206">
        <f>COUNTIF('Sprint 1'!D11:D23,A44)</f>
        <v/>
      </c>
      <c r="C44" s="206" t="inlineStr">
        <is>
          <t>Delivered all assigned tasks; supported integration and compilation of components.</t>
        </is>
      </c>
      <c r="D44" s="206" t="inlineStr">
        <is>
          <t>46</t>
        </is>
      </c>
      <c r="E44" s="206" t="inlineStr">
        <is>
          <t>6/6</t>
        </is>
      </c>
      <c r="F44" s="206" t="inlineStr">
        <is>
          <t>Book inventory, CRUD APIs, admin UI, search config, SSL, RBAC (T1-005 to T1-013)</t>
        </is>
      </c>
    </row>
    <row r="45" ht="35" customHeight="1" s="172">
      <c r="A45" s="6" t="inlineStr">
        <is>
          <t>Phillip Williams</t>
        </is>
      </c>
      <c r="B45" s="6">
        <f>COUNTIF('Sprint 1'!D11:D23,A45)</f>
        <v/>
      </c>
      <c r="C45" s="6" t="inlineStr">
        <is>
          <t>Onboarded to the project near end of Sprint 1; prepared for Sprint 2 contribution.</t>
        </is>
      </c>
      <c r="D45" s="6" t="inlineStr">
        <is>
          <t>0</t>
        </is>
      </c>
      <c r="E45" s="6" t="inlineStr">
        <is>
          <t>0/0</t>
        </is>
      </c>
      <c r="F45" s="6" t="inlineStr">
        <is>
          <t>Joined team end of Sprint 1; Sprint 2 contributor</t>
        </is>
      </c>
    </row>
    <row r="46" ht="35" customHeight="1" s="172">
      <c r="A46" s="205" t="inlineStr">
        <is>
          <t>Tracy Pillow</t>
        </is>
      </c>
      <c r="B46" s="205">
        <f>COUNTIF('Sprint 1'!D11:D23,A46)</f>
        <v/>
      </c>
      <c r="C46" s="205" t="inlineStr">
        <is>
          <t>Scrum Master — coordinated sprint planning, communication, and submission prep.</t>
        </is>
      </c>
      <c r="D46" s="205" t="inlineStr">
        <is>
          <t>8</t>
        </is>
      </c>
      <c r="E46" s="205" t="inlineStr">
        <is>
          <t>N/A</t>
        </is>
      </c>
      <c r="F46" s="205" t="inlineStr">
        <is>
          <t>Scrum Master / project coordination</t>
        </is>
      </c>
    </row>
  </sheetData>
  <mergeCells count="16">
    <mergeCell ref="A16:F16"/>
    <mergeCell ref="A11:F11"/>
    <mergeCell ref="A10:F10"/>
    <mergeCell ref="A13:F13"/>
    <mergeCell ref="A14:F14"/>
    <mergeCell ref="A19:F19"/>
    <mergeCell ref="A1:F1"/>
    <mergeCell ref="A23:F23"/>
    <mergeCell ref="A9:F9"/>
    <mergeCell ref="A31:F31"/>
    <mergeCell ref="A17:F17"/>
    <mergeCell ref="A12:F12"/>
    <mergeCell ref="A18:F18"/>
    <mergeCell ref="A20:F20"/>
    <mergeCell ref="A21:F21"/>
    <mergeCell ref="A39:F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3"/>
  <sheetViews>
    <sheetView tabSelected="1" topLeftCell="A75" workbookViewId="0">
      <selection activeCell="D10" sqref="D10"/>
    </sheetView>
  </sheetViews>
  <sheetFormatPr baseColWidth="8" defaultRowHeight="12.75"/>
  <cols>
    <col width="130.5390625" bestFit="1" customWidth="1" style="172" min="1" max="1"/>
    <col width="86.57421875" bestFit="1" customWidth="1" style="172" min="2" max="2"/>
    <col width="33.44140625" bestFit="1" customWidth="1" style="172" min="3" max="3"/>
    <col width="80.1015625" bestFit="1" customWidth="1" style="172" min="4" max="4"/>
    <col width="6.60546875" bestFit="1" customWidth="1" style="172" min="5" max="5"/>
  </cols>
  <sheetData>
    <row r="1" ht="20.25" customHeight="1" s="172">
      <c r="A1" s="176" t="inlineStr">
        <is>
          <t>ACEREADS EMERGENCY SURVIVAL GUIDE - Complete These Tasks Yourself</t>
        </is>
      </c>
    </row>
    <row r="3">
      <c r="A3" s="174" t="inlineStr">
        <is>
          <t>TODAY: Sunday June 21, 2026 | Sprint 1 Day 14 of 14 | DEADLINE DAY!</t>
        </is>
      </c>
    </row>
    <row r="4">
      <c r="A4" s="74" t="inlineStr">
        <is>
          <t>TOTAL TIME NEEDED: 3-4 hours following this guide exactly</t>
        </is>
      </c>
    </row>
    <row r="5">
      <c r="A5" s="173" t="inlineStr">
        <is>
          <t>STEP 0: INSTALL THESE FIRST (One-time setup - 30 minutes)</t>
        </is>
      </c>
    </row>
    <row r="7">
      <c r="A7" s="71" t="inlineStr">
        <is>
          <t>#</t>
        </is>
      </c>
      <c r="B7" s="71" t="inlineStr">
        <is>
          <t>What to Install</t>
        </is>
      </c>
      <c r="C7" s="71" t="inlineStr">
        <is>
          <t>Why You Need It</t>
        </is>
      </c>
      <c r="D7" s="71" t="inlineStr">
        <is>
          <t>How to Get It</t>
        </is>
      </c>
      <c r="E7" s="71" t="inlineStr">
        <is>
          <t>Time</t>
        </is>
      </c>
    </row>
    <row r="8">
      <c r="A8" t="n">
        <v>1</v>
      </c>
      <c r="B8" t="inlineStr">
        <is>
          <t>Node.js</t>
        </is>
      </c>
      <c r="C8" t="inlineStr">
        <is>
          <t>Runs JavaScript code</t>
        </is>
      </c>
      <c r="D8" t="inlineStr">
        <is>
          <t>Download from nodejs.org - click 'LTS' button, run installer, click Next until done</t>
        </is>
      </c>
      <c r="E8" t="inlineStr">
        <is>
          <t>5 min</t>
        </is>
      </c>
    </row>
    <row r="9">
      <c r="A9" t="n">
        <v>2</v>
      </c>
      <c r="B9" t="inlineStr">
        <is>
          <t>VS Code</t>
        </is>
      </c>
      <c r="C9" t="inlineStr">
        <is>
          <t>Write and edit code</t>
        </is>
      </c>
      <c r="D9" t="inlineStr">
        <is>
          <t>Download from code.visualstudio.com - run installer</t>
        </is>
      </c>
      <c r="E9" t="inlineStr">
        <is>
          <t>5 min</t>
        </is>
      </c>
    </row>
    <row r="10">
      <c r="A10" t="n">
        <v>3</v>
      </c>
      <c r="B10" t="inlineStr">
        <is>
          <t>Git</t>
        </is>
      </c>
      <c r="C10" t="inlineStr">
        <is>
          <t>Track code changes</t>
        </is>
      </c>
      <c r="D10" t="inlineStr">
        <is>
          <t>Download from git-scm.com - run installer, keep defaults</t>
        </is>
      </c>
      <c r="E10" t="inlineStr">
        <is>
          <t>5 min</t>
        </is>
      </c>
    </row>
    <row r="11">
      <c r="A11" t="n">
        <v>4</v>
      </c>
      <c r="B11" t="inlineStr">
        <is>
          <t>MySQL</t>
        </is>
      </c>
      <c r="C11" t="inlineStr">
        <is>
          <t>Database for storing data</t>
        </is>
      </c>
      <c r="D11" t="inlineStr">
        <is>
          <t>Download MySQL Community Server from mysql.com/downloads - remember your password!</t>
        </is>
      </c>
      <c r="E11" t="inlineStr">
        <is>
          <t>10 min</t>
        </is>
      </c>
    </row>
    <row r="12">
      <c r="A12" t="n">
        <v>5</v>
      </c>
      <c r="B12" t="inlineStr">
        <is>
          <t>Postman</t>
        </is>
      </c>
      <c r="C12" t="inlineStr">
        <is>
          <t>Test your APIs</t>
        </is>
      </c>
      <c r="D12" t="inlineStr">
        <is>
          <t>Download from postman.com - free account</t>
        </is>
      </c>
      <c r="E12" t="inlineStr">
        <is>
          <t>5 min</t>
        </is>
      </c>
    </row>
    <row r="14">
      <c r="A14" s="173" t="inlineStr">
        <is>
          <t>STEP 1: CREATE YOUR PROJECT FOLDER (15 minutes)</t>
        </is>
      </c>
    </row>
    <row r="16">
      <c r="A16" t="inlineStr">
        <is>
          <t>Open VS Code, then open Terminal (View &gt; Terminal). Type these commands one at a time, press Enter after each:</t>
        </is>
      </c>
    </row>
    <row r="18">
      <c r="A18" s="72" t="inlineStr">
        <is>
          <t>COMMAND</t>
        </is>
      </c>
      <c r="B18" s="72" t="inlineStr">
        <is>
          <t>WHAT IT DOES</t>
        </is>
      </c>
    </row>
    <row r="19">
      <c r="A19" t="inlineStr">
        <is>
          <t>mkdir acereads</t>
        </is>
      </c>
      <c r="B19" t="inlineStr">
        <is>
          <t>Creates a folder called 'acereads'</t>
        </is>
      </c>
    </row>
    <row r="20">
      <c r="A20" t="inlineStr">
        <is>
          <t>cd acereads</t>
        </is>
      </c>
      <c r="B20" t="inlineStr">
        <is>
          <t>Goes into that folder</t>
        </is>
      </c>
    </row>
    <row r="21">
      <c r="A21" t="inlineStr">
        <is>
          <t>npm init -y</t>
        </is>
      </c>
      <c r="B21" t="inlineStr">
        <is>
          <t>Creates package.json (project settings file)</t>
        </is>
      </c>
    </row>
    <row r="22">
      <c r="A22" t="inlineStr">
        <is>
          <t>npm install express mysql2 bcrypt jsonwebtoken cors dotenv</t>
        </is>
      </c>
      <c r="B22" t="inlineStr">
        <is>
          <t>Installs the tools you need</t>
        </is>
      </c>
    </row>
    <row r="23">
      <c r="A23" t="inlineStr">
        <is>
          <t>mkdir src</t>
        </is>
      </c>
      <c r="B23" t="inlineStr">
        <is>
          <t>Creates src folder for your code</t>
        </is>
      </c>
    </row>
    <row r="24">
      <c r="A24" t="inlineStr">
        <is>
          <t>mkdir src/routes src/models src/middleware src/controllers</t>
        </is>
      </c>
      <c r="B24" t="inlineStr">
        <is>
          <t>Creates subfolders to organize code</t>
        </is>
      </c>
    </row>
    <row r="25">
      <c r="A25" t="inlineStr">
        <is>
          <t>touch src/app.js (Mac) OR type nul &gt; src\app.js (Windows)</t>
        </is>
      </c>
      <c r="B25" t="inlineStr">
        <is>
          <t>Creates your main app file</t>
        </is>
      </c>
    </row>
    <row r="27">
      <c r="A27" s="173" t="inlineStr">
        <is>
          <t>STEP 2: CREATE YOUR DATABASE (20 minutes) - THIS COMPLETES T1-001, T1-005, T2-001</t>
        </is>
      </c>
    </row>
    <row r="29">
      <c r="A29" t="inlineStr">
        <is>
          <t>Open MySQL Workbench (installed with MySQL). Click the Local instance to connect. Then copy/paste this entire block:</t>
        </is>
      </c>
    </row>
    <row r="31">
      <c r="A31" s="70" t="inlineStr">
        <is>
          <t>-- COPY EVERYTHING BELOW THIS LINE --</t>
        </is>
      </c>
      <c r="B31" s="70" t="n"/>
    </row>
    <row r="32">
      <c r="A32" t="inlineStr">
        <is>
          <t>CREATE DATABASE IF NOT EXISTS acereads;</t>
        </is>
      </c>
    </row>
    <row r="33">
      <c r="A33" t="inlineStr">
        <is>
          <t>USE acereads;</t>
        </is>
      </c>
    </row>
    <row r="35">
      <c r="A35" t="inlineStr">
        <is>
          <t>-- Users table (for login/registration)</t>
        </is>
      </c>
    </row>
    <row r="36">
      <c r="A36" t="inlineStr">
        <is>
          <t>CREATE TABLE users (</t>
        </is>
      </c>
    </row>
    <row r="37">
      <c r="A37" t="inlineStr">
        <is>
          <t xml:space="preserve">  id INT AUTO_INCREMENT PRIMARY KEY,</t>
        </is>
      </c>
    </row>
    <row r="38">
      <c r="A38" t="inlineStr">
        <is>
          <t xml:space="preserve">  email VARCHAR(255) UNIQUE NOT NULL,</t>
        </is>
      </c>
    </row>
    <row r="39">
      <c r="A39" t="inlineStr">
        <is>
          <t xml:space="preserve">  password VARCHAR(255) NOT NULL,</t>
        </is>
      </c>
    </row>
    <row r="40">
      <c r="A40" t="inlineStr">
        <is>
          <t xml:space="preserve">  first_name VARCHAR(100),</t>
        </is>
      </c>
    </row>
    <row r="41">
      <c r="A41" t="inlineStr">
        <is>
          <t xml:space="preserve">  last_name VARCHAR(100),</t>
        </is>
      </c>
    </row>
    <row r="42">
      <c r="A42" t="inlineStr">
        <is>
          <t xml:space="preserve">  email_verified BOOLEAN DEFAULT FALSE,</t>
        </is>
      </c>
    </row>
    <row r="43">
      <c r="A43" t="inlineStr">
        <is>
          <t xml:space="preserve">  failed_login_attempts INT DEFAULT 0,</t>
        </is>
      </c>
    </row>
    <row r="44">
      <c r="A44" t="inlineStr">
        <is>
          <t xml:space="preserve">  account_locked BOOLEAN DEFAULT FALSE,</t>
        </is>
      </c>
    </row>
    <row r="45">
      <c r="A45" t="inlineStr">
        <is>
          <t xml:space="preserve">  created_at TIMESTAMP DEFAULT CURRENT_TIMESTAMP,</t>
        </is>
      </c>
    </row>
    <row r="46">
      <c r="A46" t="inlineStr">
        <is>
          <t xml:space="preserve">  updated_at TIMESTAMP DEFAULT CURRENT_TIMESTAMP ON UPDATE CURRENT_TIMESTAMP</t>
        </is>
      </c>
    </row>
    <row r="47">
      <c r="A47" t="inlineStr">
        <is>
          <t>);</t>
        </is>
      </c>
    </row>
    <row r="48">
      <c r="A48" t="inlineStr">
        <is>
          <t>-- Books table (for inventory)</t>
        </is>
      </c>
    </row>
    <row r="49">
      <c r="A49" t="inlineStr">
        <is>
          <t>CREATE TABLE books (</t>
        </is>
      </c>
    </row>
    <row r="50">
      <c r="A50" t="inlineStr">
        <is>
          <t xml:space="preserve">  id INT AUTO_INCREMENT PRIMARY KEY,</t>
        </is>
      </c>
    </row>
    <row r="51">
      <c r="A51" t="inlineStr">
        <is>
          <t xml:space="preserve">  isbn VARCHAR(20) UNIQUE,</t>
        </is>
      </c>
    </row>
    <row r="52">
      <c r="A52" t="inlineStr">
        <is>
          <t xml:space="preserve">  title VARCHAR(255) NOT NULL,</t>
        </is>
      </c>
    </row>
    <row r="53">
      <c r="A53" t="inlineStr">
        <is>
          <t xml:space="preserve">  author VARCHAR(255),</t>
        </is>
      </c>
    </row>
    <row r="54">
      <c r="A54" t="inlineStr">
        <is>
          <t xml:space="preserve">  price DECIMAL(10,2) NOT NULL,</t>
        </is>
      </c>
    </row>
    <row r="55">
      <c r="A55" t="inlineStr">
        <is>
          <t xml:space="preserve">  quantity INT DEFAULT 0,</t>
        </is>
      </c>
    </row>
    <row r="56">
      <c r="A56" t="inlineStr">
        <is>
          <t xml:space="preserve">  category VARCHAR(100),</t>
        </is>
      </c>
    </row>
    <row r="57">
      <c r="A57" t="inlineStr">
        <is>
          <t xml:space="preserve">  publisher VARCHAR(255),</t>
        </is>
      </c>
    </row>
    <row r="58">
      <c r="A58" t="inlineStr">
        <is>
          <t xml:space="preserve">  publication_date DATE,</t>
        </is>
      </c>
    </row>
    <row r="59">
      <c r="A59" t="inlineStr">
        <is>
          <t xml:space="preserve">  description TEXT,</t>
        </is>
      </c>
    </row>
    <row r="60">
      <c r="A60" t="inlineStr">
        <is>
          <t xml:space="preserve">  image_url VARCHAR(500),</t>
        </is>
      </c>
    </row>
    <row r="61">
      <c r="A61" t="inlineStr">
        <is>
          <t xml:space="preserve">  is_deleted BOOLEAN DEFAULT FALSE,</t>
        </is>
      </c>
    </row>
    <row r="62">
      <c r="A62" t="inlineStr">
        <is>
          <t xml:space="preserve">  created_at TIMESTAMP DEFAULT CURRENT_TIMESTAMP</t>
        </is>
      </c>
    </row>
    <row r="63">
      <c r="A63" t="inlineStr">
        <is>
          <t>);</t>
        </is>
      </c>
    </row>
    <row r="65">
      <c r="A65" t="inlineStr">
        <is>
          <t>-- Shopping cart table</t>
        </is>
      </c>
    </row>
    <row r="66">
      <c r="A66" t="inlineStr">
        <is>
          <t>CREATE TABLE cart_items (</t>
        </is>
      </c>
    </row>
    <row r="67">
      <c r="A67" t="inlineStr">
        <is>
          <t xml:space="preserve">  id INT AUTO_INCREMENT PRIMARY KEY,</t>
        </is>
      </c>
    </row>
    <row r="68">
      <c r="A68" t="inlineStr">
        <is>
          <t xml:space="preserve">  user_id INT NOT NULL,</t>
        </is>
      </c>
    </row>
    <row r="69">
      <c r="A69" t="inlineStr">
        <is>
          <t xml:space="preserve">  book_id INT NOT NULL,</t>
        </is>
      </c>
    </row>
    <row r="70">
      <c r="A70" t="inlineStr">
        <is>
          <t xml:space="preserve">  quantity INT DEFAULT 1,</t>
        </is>
      </c>
    </row>
    <row r="71">
      <c r="A71" t="inlineStr">
        <is>
          <t xml:space="preserve">  created_at TIMESTAMP DEFAULT CURRENT_TIMESTAMP,</t>
        </is>
      </c>
    </row>
    <row r="72">
      <c r="A72" t="inlineStr">
        <is>
          <t xml:space="preserve">  FOREIGN KEY (user_id) REFERENCES users(id),</t>
        </is>
      </c>
    </row>
    <row r="73">
      <c r="A73" t="inlineStr">
        <is>
          <t xml:space="preserve">  FOREIGN KEY (book_id) REFERENCES books(id)</t>
        </is>
      </c>
    </row>
    <row r="74">
      <c r="A74" t="inlineStr">
        <is>
          <t>);</t>
        </is>
      </c>
    </row>
    <row r="75">
      <c r="A75" t="inlineStr">
        <is>
          <t>-- Orders table</t>
        </is>
      </c>
    </row>
    <row r="76">
      <c r="A76" t="inlineStr">
        <is>
          <t>CREATE TABLE orders (</t>
        </is>
      </c>
    </row>
    <row r="77">
      <c r="A77" t="inlineStr">
        <is>
          <t xml:space="preserve">  id INT AUTO_INCREMENT PRIMARY KEY,</t>
        </is>
      </c>
    </row>
    <row r="78">
      <c r="A78" t="inlineStr">
        <is>
          <t xml:space="preserve">  user_id INT NOT NULL,</t>
        </is>
      </c>
    </row>
    <row r="79">
      <c r="A79" t="inlineStr">
        <is>
          <t xml:space="preserve">  total_amount DECIMAL(10,2) NOT NULL,</t>
        </is>
      </c>
    </row>
    <row r="80">
      <c r="A80" t="inlineStr">
        <is>
          <t xml:space="preserve">  status ENUM('pending','confirmed','shipped','delivered','cancelled') DEFAULT 'pending',</t>
        </is>
      </c>
    </row>
    <row r="81">
      <c r="A81" t="inlineStr">
        <is>
          <t xml:space="preserve">  shipping_address TEXT,</t>
        </is>
      </c>
    </row>
    <row r="82">
      <c r="A82" t="inlineStr">
        <is>
          <t xml:space="preserve">  payment_status ENUM('pending','completed','failed','refunded') DEFAULT 'pending',</t>
        </is>
      </c>
    </row>
    <row r="83">
      <c r="A83" t="inlineStr">
        <is>
          <t xml:space="preserve">  created_at TIMESTAMP DEFAULT CURRENT_TIMESTAMP,</t>
        </is>
      </c>
    </row>
    <row r="84">
      <c r="A84" t="inlineStr">
        <is>
          <t xml:space="preserve">  FOREIGN KEY (user_id) REFERENCES users(id)</t>
        </is>
      </c>
    </row>
    <row r="85">
      <c r="A85" t="inlineStr">
        <is>
          <t>);</t>
        </is>
      </c>
    </row>
    <row r="87">
      <c r="A87" t="inlineStr">
        <is>
          <t>-- Order items table</t>
        </is>
      </c>
    </row>
    <row r="88">
      <c r="A88" t="inlineStr">
        <is>
          <t>CREATE TABLE order_items (</t>
        </is>
      </c>
    </row>
    <row r="89">
      <c r="A89" t="inlineStr">
        <is>
          <t xml:space="preserve">  id INT AUTO_INCREMENT PRIMARY KEY,</t>
        </is>
      </c>
    </row>
    <row r="90">
      <c r="A90" t="inlineStr">
        <is>
          <t xml:space="preserve">  order_id INT NOT NULL,</t>
        </is>
      </c>
    </row>
    <row r="91">
      <c r="A91" t="inlineStr">
        <is>
          <t xml:space="preserve">  book_id INT NOT NULL,</t>
        </is>
      </c>
    </row>
    <row r="92">
      <c r="A92" t="inlineStr">
        <is>
          <t xml:space="preserve">  quantity INT NOT NULL,</t>
        </is>
      </c>
    </row>
    <row r="93">
      <c r="A93" t="inlineStr">
        <is>
          <t xml:space="preserve">  price_at_purchase DECIMAL(10,2) NOT NULL,</t>
        </is>
      </c>
    </row>
    <row r="94">
      <c r="A94" t="inlineStr">
        <is>
          <t xml:space="preserve">  FOREIGN KEY (order_id) REFERENCES orders(id),</t>
        </is>
      </c>
    </row>
    <row r="95">
      <c r="A95" t="inlineStr">
        <is>
          <t xml:space="preserve">  FOREIGN KEY (book_id) REFERENCES books(id)</t>
        </is>
      </c>
    </row>
    <row r="96">
      <c r="A96" t="inlineStr">
        <is>
          <t>);</t>
        </is>
      </c>
    </row>
    <row r="97">
      <c r="A97" s="70" t="inlineStr">
        <is>
          <t>-- END OF DATABASE SETUP - Click the lightning bolt icon to run --</t>
        </is>
      </c>
      <c r="B97" s="70" t="n"/>
    </row>
    <row r="99">
      <c r="A99" s="173" t="inlineStr">
        <is>
          <t>STEP 3: CREATE MAIN APP FILE (10 minutes) - src/app.js</t>
        </is>
      </c>
    </row>
    <row r="101">
      <c r="A101" t="inlineStr">
        <is>
          <t>In VS Code, open src/app.js and paste this entire code:</t>
        </is>
      </c>
    </row>
    <row r="103">
      <c r="A103" t="inlineStr">
        <is>
          <t>const express = require('express');</t>
        </is>
      </c>
    </row>
    <row r="104">
      <c r="A104" t="inlineStr">
        <is>
          <t>const cors = require('cors');</t>
        </is>
      </c>
    </row>
    <row r="105">
      <c r="A105" t="inlineStr">
        <is>
          <t>const mysql = require('mysql2/promise');</t>
        </is>
      </c>
    </row>
    <row r="106">
      <c r="A106" t="inlineStr">
        <is>
          <t>require('dotenv').config();</t>
        </is>
      </c>
    </row>
    <row r="108">
      <c r="A108" t="inlineStr">
        <is>
          <t>const app = express();</t>
        </is>
      </c>
    </row>
    <row r="109">
      <c r="A109" t="inlineStr">
        <is>
          <t>app.use(cors());</t>
        </is>
      </c>
    </row>
    <row r="110">
      <c r="A110" t="inlineStr">
        <is>
          <t>app.use(express.json());</t>
        </is>
      </c>
    </row>
    <row r="112">
      <c r="A112" t="inlineStr">
        <is>
          <t>// Database connection</t>
        </is>
      </c>
    </row>
    <row r="113">
      <c r="A113" t="inlineStr">
        <is>
          <t>const pool = mysql.createPool({</t>
        </is>
      </c>
    </row>
    <row r="114">
      <c r="A114" t="inlineStr">
        <is>
          <t xml:space="preserve">  host: 'localhost',</t>
        </is>
      </c>
    </row>
    <row r="115">
      <c r="A115" t="inlineStr">
        <is>
          <t xml:space="preserve">  user: 'root',</t>
        </is>
      </c>
    </row>
    <row r="116">
      <c r="A116" t="inlineStr">
        <is>
          <t xml:space="preserve">  password: 'YOUR_MYSQL_PASSWORD_HERE',  // &lt;-- Change this!</t>
        </is>
      </c>
    </row>
    <row r="117">
      <c r="A117" t="inlineStr">
        <is>
          <t xml:space="preserve">  database: 'acereads',</t>
        </is>
      </c>
    </row>
    <row r="118">
      <c r="A118" t="inlineStr">
        <is>
          <t xml:space="preserve">  waitForConnections: true,</t>
        </is>
      </c>
    </row>
    <row r="119">
      <c r="A119" t="inlineStr">
        <is>
          <t xml:space="preserve">  connectionLimit: 10</t>
        </is>
      </c>
    </row>
    <row r="120">
      <c r="A120" t="inlineStr">
        <is>
          <t>});</t>
        </is>
      </c>
    </row>
    <row r="122">
      <c r="A122" t="inlineStr">
        <is>
          <t>module.exports = { app, pool };</t>
        </is>
      </c>
    </row>
    <row r="124">
      <c r="A124" s="173" t="inlineStr">
        <is>
          <t>STEP 4: USER REGISTRATION &amp; LOGIN (30 min) - COMPLETES T1-001, T1-002, T1-003, T1-004</t>
        </is>
      </c>
    </row>
    <row r="126">
      <c r="A126" t="inlineStr">
        <is>
          <t>Create file: src/routes/auth.js - Copy/paste this entire code:</t>
        </is>
      </c>
    </row>
    <row r="128">
      <c r="A128" t="inlineStr">
        <is>
          <t>const express = require('express');</t>
        </is>
      </c>
    </row>
    <row r="129">
      <c r="A129" t="inlineStr">
        <is>
          <t>const bcrypt = require('bcrypt');</t>
        </is>
      </c>
    </row>
    <row r="130">
      <c r="A130" t="inlineStr">
        <is>
          <t>const jwt = require('jsonwebtoken');</t>
        </is>
      </c>
    </row>
    <row r="131">
      <c r="A131" t="inlineStr">
        <is>
          <t>const router = express.Router();</t>
        </is>
      </c>
    </row>
    <row r="132">
      <c r="A132" t="inlineStr">
        <is>
          <t>const { pool } = require('../app');</t>
        </is>
      </c>
    </row>
    <row r="134">
      <c r="A134" t="inlineStr">
        <is>
          <t>// REGISTER NEW USER</t>
        </is>
      </c>
    </row>
    <row r="135">
      <c r="A135" t="inlineStr">
        <is>
          <t>router.post('/register', async (req, res) =&gt; {</t>
        </is>
      </c>
    </row>
    <row r="136">
      <c r="A136" t="inlineStr">
        <is>
          <t xml:space="preserve">  try {</t>
        </is>
      </c>
    </row>
    <row r="137">
      <c r="A137" t="inlineStr">
        <is>
          <t xml:space="preserve">    const { email, password, first_name, last_name } = req.body;</t>
        </is>
      </c>
    </row>
    <row r="138">
      <c r="A138" t="inlineStr">
        <is>
          <t xml:space="preserve">    </t>
        </is>
      </c>
    </row>
    <row r="139">
      <c r="A139" t="inlineStr">
        <is>
          <t xml:space="preserve">    // Validate password (8+ chars, 1 upper, 1 number, 1 special)</t>
        </is>
      </c>
    </row>
    <row r="140">
      <c r="A140" t="inlineStr">
        <is>
          <t xml:space="preserve">    const passwordRegex = /^(?=.*[A-Z])(?=.*\d)(?=.*[!@#$%^&amp;*]).{8,}$/;</t>
        </is>
      </c>
    </row>
    <row r="141">
      <c r="A141" t="inlineStr">
        <is>
          <t xml:space="preserve">    if (!passwordRegex.test(password)) {</t>
        </is>
      </c>
    </row>
    <row r="142">
      <c r="A142" t="inlineStr">
        <is>
          <t xml:space="preserve">      return res.status(400).json({ error: 'Password must be 8+ chars with 1 uppercase, 1 number, 1 special char' });</t>
        </is>
      </c>
    </row>
    <row r="143">
      <c r="A143" t="inlineStr">
        <is>
          <t xml:space="preserve">    }</t>
        </is>
      </c>
    </row>
    <row r="144">
      <c r="A144" t="inlineStr">
        <is>
          <t xml:space="preserve">    </t>
        </is>
      </c>
    </row>
    <row r="145">
      <c r="A145" t="inlineStr">
        <is>
          <t xml:space="preserve">    // Hash password (encryption)</t>
        </is>
      </c>
    </row>
    <row r="146">
      <c r="A146" t="inlineStr">
        <is>
          <t xml:space="preserve">    const hashedPassword = await bcrypt.hash(password, 10);</t>
        </is>
      </c>
    </row>
    <row r="147">
      <c r="A147" t="inlineStr">
        <is>
          <t xml:space="preserve">    </t>
        </is>
      </c>
    </row>
    <row r="148">
      <c r="A148" t="inlineStr">
        <is>
          <t xml:space="preserve">    // Save to database</t>
        </is>
      </c>
    </row>
    <row r="149">
      <c r="A149" t="inlineStr">
        <is>
          <t xml:space="preserve">    const [result] = await pool.execute(</t>
        </is>
      </c>
    </row>
    <row r="150">
      <c r="A150" t="inlineStr">
        <is>
          <t xml:space="preserve">      'INSERT INTO users (email, password, first_name, last_name) VALUES (?, ?, ?, ?)',</t>
        </is>
      </c>
    </row>
    <row r="151">
      <c r="A151" t="inlineStr">
        <is>
          <t xml:space="preserve">      [email, hashedPassword, first_name, last_name]</t>
        </is>
      </c>
    </row>
    <row r="152">
      <c r="A152" t="inlineStr">
        <is>
          <t xml:space="preserve">    );</t>
        </is>
      </c>
    </row>
    <row r="153">
      <c r="A153" t="inlineStr">
        <is>
          <t xml:space="preserve">    </t>
        </is>
      </c>
    </row>
    <row r="154">
      <c r="A154" t="inlineStr">
        <is>
          <t xml:space="preserve">    res.status(201).json({ message: 'User registered successfully', userId: result.insertId });</t>
        </is>
      </c>
    </row>
    <row r="155">
      <c r="A155" t="inlineStr">
        <is>
          <t xml:space="preserve">  } catch (error) {</t>
        </is>
      </c>
    </row>
    <row r="156">
      <c r="A156" t="inlineStr">
        <is>
          <t xml:space="preserve">    res.status(500).json({ error: error.message });</t>
        </is>
      </c>
    </row>
    <row r="157">
      <c r="A157" t="inlineStr">
        <is>
          <t xml:space="preserve">  }</t>
        </is>
      </c>
    </row>
    <row r="158">
      <c r="A158" t="inlineStr">
        <is>
          <t>});</t>
        </is>
      </c>
    </row>
    <row r="160">
      <c r="A160" t="inlineStr">
        <is>
          <t>// LOGIN USER</t>
        </is>
      </c>
    </row>
    <row r="161">
      <c r="A161" t="inlineStr">
        <is>
          <t>router.post('/login', async (req, res) =&gt; {</t>
        </is>
      </c>
    </row>
    <row r="162">
      <c r="A162" t="inlineStr">
        <is>
          <t xml:space="preserve">  try {</t>
        </is>
      </c>
    </row>
    <row r="163">
      <c r="A163" t="inlineStr">
        <is>
          <t xml:space="preserve">    const { email, password } = req.body;</t>
        </is>
      </c>
    </row>
    <row r="164">
      <c r="A164" t="inlineStr">
        <is>
          <t xml:space="preserve">    const [users] = await pool.execute('SELECT * FROM users WHERE email = ?', [email]);</t>
        </is>
      </c>
    </row>
    <row r="165">
      <c r="A165" t="inlineStr">
        <is>
          <t xml:space="preserve">    if (users.length === 0) return res.status(401).json({ error: 'Invalid credentials' });</t>
        </is>
      </c>
    </row>
    <row r="166">
      <c r="A166" t="inlineStr">
        <is>
          <t xml:space="preserve">    const user = users[0];</t>
        </is>
      </c>
    </row>
    <row r="167">
      <c r="A167" t="inlineStr">
        <is>
          <t xml:space="preserve">    if (user.account_locked) return res.status(403).json({ error: 'Account locked' });</t>
        </is>
      </c>
    </row>
    <row r="168">
      <c r="A168" t="inlineStr">
        <is>
          <t xml:space="preserve">    const validPassword = await bcrypt.compare(password, user.password);</t>
        </is>
      </c>
    </row>
    <row r="169">
      <c r="A169" t="inlineStr">
        <is>
          <t xml:space="preserve">    if (!validPassword) {</t>
        </is>
      </c>
    </row>
    <row r="170">
      <c r="A170" t="inlineStr">
        <is>
          <t xml:space="preserve">      const newAttempts = user.failed_login_attempts + 1;</t>
        </is>
      </c>
    </row>
    <row r="171">
      <c r="A171" t="inlineStr">
        <is>
          <t xml:space="preserve">      await pool.execute('UPDATE users SET failed_login_attempts = ?, account_locked = ? WHERE id = ?',</t>
        </is>
      </c>
    </row>
    <row r="172">
      <c r="A172" t="inlineStr">
        <is>
          <t xml:space="preserve">        [newAttempts, newAttempts &gt;= 5, user.id]);</t>
        </is>
      </c>
    </row>
    <row r="173">
      <c r="A173" t="inlineStr">
        <is>
          <t xml:space="preserve">      return res.status(401).json({ error: 'Invalid credentials' });</t>
        </is>
      </c>
    </row>
    <row r="174">
      <c r="A174" t="inlineStr">
        <is>
          <t xml:space="preserve">    }</t>
        </is>
      </c>
    </row>
    <row r="175">
      <c r="A175" t="inlineStr">
        <is>
          <t xml:space="preserve">    await pool.execute('UPDATE users SET failed_login_attempts = 0 WHERE id = ?', [user.id]);</t>
        </is>
      </c>
    </row>
    <row r="176">
      <c r="A176" t="inlineStr">
        <is>
          <t xml:space="preserve">    const token = jwt.sign({ userId: user.id }, 'secret-key-change-this', { expiresIn: '30m' });</t>
        </is>
      </c>
    </row>
    <row r="177">
      <c r="A177" t="inlineStr">
        <is>
          <t xml:space="preserve">    res.json({ message: 'Login successful', token });</t>
        </is>
      </c>
    </row>
    <row r="178">
      <c r="A178" t="inlineStr">
        <is>
          <t xml:space="preserve">  } catch (error) { res.status(500).json({ error: error.message }); }</t>
        </is>
      </c>
    </row>
    <row r="179">
      <c r="A179" t="inlineStr">
        <is>
          <t>});</t>
        </is>
      </c>
    </row>
    <row r="180">
      <c r="A180" t="inlineStr">
        <is>
          <t>module.exports = router;</t>
        </is>
      </c>
    </row>
    <row r="182">
      <c r="A182" s="173" t="inlineStr">
        <is>
          <t>STEP 5: BOOK INVENTORY API (30 min) - COMPLETES T1-005, T1-006, T1-007, T1-008, T1-010, T1-011</t>
        </is>
      </c>
    </row>
    <row r="184">
      <c r="A184" t="inlineStr">
        <is>
          <t>Create file: src/routes/books.js - Copy/paste this entire code:</t>
        </is>
      </c>
    </row>
    <row r="186">
      <c r="A186" t="inlineStr">
        <is>
          <t>const express = require('express');</t>
        </is>
      </c>
    </row>
    <row r="187">
      <c r="A187" t="inlineStr">
        <is>
          <t>const router = express.Router();</t>
        </is>
      </c>
    </row>
    <row r="188">
      <c r="A188" t="inlineStr">
        <is>
          <t>const { pool } = require('../app');</t>
        </is>
      </c>
    </row>
    <row r="190">
      <c r="A190" t="inlineStr">
        <is>
          <t>// GET ALL BOOKS (with search &amp; filter)</t>
        </is>
      </c>
    </row>
    <row r="191">
      <c r="A191" t="inlineStr">
        <is>
          <t>router.get('/', async (req, res) =&gt; {</t>
        </is>
      </c>
    </row>
    <row r="192">
      <c r="A192" t="inlineStr">
        <is>
          <t xml:space="preserve">  try {</t>
        </is>
      </c>
    </row>
    <row r="193">
      <c r="A193" t="inlineStr">
        <is>
          <t xml:space="preserve">    const { search, category, minPrice, maxPrice, sortBy } = req.query;</t>
        </is>
      </c>
    </row>
    <row r="194">
      <c r="A194" t="inlineStr">
        <is>
          <t xml:space="preserve">    let query = 'SELECT * FROM books WHERE is_deleted = FALSE';</t>
        </is>
      </c>
    </row>
    <row r="195">
      <c r="A195" t="inlineStr">
        <is>
          <t xml:space="preserve">    const params = [];</t>
        </is>
      </c>
    </row>
    <row r="196">
      <c r="A196" t="inlineStr">
        <is>
          <t xml:space="preserve">    if (search) { query += ' AND (title LIKE ? OR author LIKE ? OR isbn LIKE ?)';</t>
        </is>
      </c>
    </row>
    <row r="197">
      <c r="A197" t="inlineStr">
        <is>
          <t xml:space="preserve">      params.push(`%${search}%`, `%${search}%`, `%${search}%`); }</t>
        </is>
      </c>
    </row>
    <row r="198">
      <c r="A198" t="inlineStr">
        <is>
          <t xml:space="preserve">    if (category) { query += ' AND category = ?'; params.push(category); }</t>
        </is>
      </c>
    </row>
    <row r="199">
      <c r="A199" t="inlineStr">
        <is>
          <t xml:space="preserve">    if (minPrice) { query += ' AND price &gt;= ?'; params.push(minPrice); }</t>
        </is>
      </c>
    </row>
    <row r="200">
      <c r="A200" t="inlineStr">
        <is>
          <t xml:space="preserve">    if (maxPrice) { query += ' AND price &lt;= ?'; params.push(maxPrice); }</t>
        </is>
      </c>
    </row>
    <row r="201">
      <c r="A201" t="inlineStr">
        <is>
          <t xml:space="preserve">    if (sortBy === 'price') query += ' ORDER BY price';</t>
        </is>
      </c>
    </row>
    <row r="202">
      <c r="A202" t="inlineStr">
        <is>
          <t xml:space="preserve">    else if (sortBy === 'title') query += ' ORDER BY title';</t>
        </is>
      </c>
    </row>
    <row r="203">
      <c r="A203" t="inlineStr">
        <is>
          <t xml:space="preserve">    else query += ' ORDER BY created_at DESC';</t>
        </is>
      </c>
    </row>
    <row r="204">
      <c r="A204" t="inlineStr">
        <is>
          <t xml:space="preserve">    const [books] = await pool.execute(query, params);</t>
        </is>
      </c>
    </row>
    <row r="205">
      <c r="A205" t="inlineStr">
        <is>
          <t xml:space="preserve">    res.json(books);</t>
        </is>
      </c>
    </row>
    <row r="206">
      <c r="A206" t="inlineStr">
        <is>
          <t xml:space="preserve">  } catch (error) { res.status(500).json({ error: error.message }); }</t>
        </is>
      </c>
    </row>
    <row r="207">
      <c r="A207" t="inlineStr">
        <is>
          <t>});</t>
        </is>
      </c>
    </row>
    <row r="209">
      <c r="A209" t="inlineStr">
        <is>
          <t>// GET SINGLE BOOK BY ID</t>
        </is>
      </c>
    </row>
    <row r="210">
      <c r="A210" t="inlineStr">
        <is>
          <t>router.get('/:id', async (req, res) =&gt; {</t>
        </is>
      </c>
    </row>
    <row r="211">
      <c r="A211" t="inlineStr">
        <is>
          <t xml:space="preserve">  try {</t>
        </is>
      </c>
    </row>
    <row r="212">
      <c r="A212" t="inlineStr">
        <is>
          <t xml:space="preserve">    const [books] = await pool.execute('SELECT * FROM books WHERE id = ? AND is_deleted = FALSE', [req.params.id]);</t>
        </is>
      </c>
    </row>
    <row r="213">
      <c r="A213" t="inlineStr">
        <is>
          <t xml:space="preserve">    if (books.length === 0) return res.status(404).json({ error: 'Book not found' });</t>
        </is>
      </c>
    </row>
    <row r="214">
      <c r="A214" t="inlineStr">
        <is>
          <t xml:space="preserve">    res.json(books[0]);</t>
        </is>
      </c>
    </row>
    <row r="215">
      <c r="A215" t="inlineStr">
        <is>
          <t xml:space="preserve">  } catch (error) { res.status(500).json({ error: error.message }); }</t>
        </is>
      </c>
    </row>
    <row r="216">
      <c r="A216" t="inlineStr">
        <is>
          <t>});</t>
        </is>
      </c>
    </row>
    <row r="218">
      <c r="A218" t="inlineStr">
        <is>
          <t>// ADD NEW BOOK (Admin only)</t>
        </is>
      </c>
    </row>
    <row r="219">
      <c r="A219" t="inlineStr">
        <is>
          <t>router.post('/', async (req, res) =&gt; {</t>
        </is>
      </c>
    </row>
    <row r="220">
      <c r="A220" t="inlineStr">
        <is>
          <t xml:space="preserve">  try {</t>
        </is>
      </c>
    </row>
    <row r="221">
      <c r="A221" t="inlineStr">
        <is>
          <t xml:space="preserve">    const { isbn, title, author, price, quantity, category, publisher, publication_date, description, image_url } = req.body;</t>
        </is>
      </c>
    </row>
    <row r="222">
      <c r="A222" t="inlineStr">
        <is>
          <t xml:space="preserve">    const [result] = await pool.execute(</t>
        </is>
      </c>
    </row>
    <row r="223">
      <c r="A223" t="inlineStr">
        <is>
          <t xml:space="preserve">      'INSERT INTO books (isbn, title, author, price, quantity, category, publisher, publication_date, description, image_url) VALUES (?,?,?,?,?,?,?,?,?,?)',</t>
        </is>
      </c>
    </row>
    <row r="224">
      <c r="A224" t="inlineStr">
        <is>
          <t xml:space="preserve">      [isbn, title, author, price, quantity, category, publisher, publication_date, description, image_url]</t>
        </is>
      </c>
    </row>
    <row r="225">
      <c r="A225" t="inlineStr">
        <is>
          <t xml:space="preserve">    );</t>
        </is>
      </c>
    </row>
    <row r="226">
      <c r="A226" t="inlineStr">
        <is>
          <t xml:space="preserve">    res.status(201).json({ message: 'Book added', bookId: result.insertId });</t>
        </is>
      </c>
    </row>
    <row r="227">
      <c r="A227" t="inlineStr">
        <is>
          <t xml:space="preserve">  } catch (error) { res.status(500).json({ error: error.message }); }</t>
        </is>
      </c>
    </row>
    <row r="228">
      <c r="A228" t="inlineStr">
        <is>
          <t>});</t>
        </is>
      </c>
    </row>
    <row r="230">
      <c r="A230" t="inlineStr">
        <is>
          <t>// UPDATE BOOK</t>
        </is>
      </c>
    </row>
    <row r="231">
      <c r="A231" t="inlineStr">
        <is>
          <t>router.put('/:id', async (req, res) =&gt; {</t>
        </is>
      </c>
    </row>
    <row r="232">
      <c r="A232" t="inlineStr">
        <is>
          <t xml:space="preserve">  try {</t>
        </is>
      </c>
    </row>
    <row r="233">
      <c r="A233" t="inlineStr">
        <is>
          <t xml:space="preserve">    const { title, author, price, quantity, category } = req.body;</t>
        </is>
      </c>
    </row>
    <row r="234">
      <c r="A234" t="inlineStr">
        <is>
          <t xml:space="preserve">    await pool.execute('UPDATE books SET title=?, author=?, price=?, quantity=?, category=? WHERE id=?',</t>
        </is>
      </c>
    </row>
    <row r="235">
      <c r="A235" t="inlineStr">
        <is>
          <t xml:space="preserve">      [title, author, price, quantity, category, req.params.id]);</t>
        </is>
      </c>
    </row>
    <row r="236">
      <c r="A236" t="inlineStr">
        <is>
          <t xml:space="preserve">    res.json({ message: 'Book updated' });</t>
        </is>
      </c>
    </row>
    <row r="237">
      <c r="A237" t="inlineStr">
        <is>
          <t xml:space="preserve">  } catch (error) { res.status(500).json({ error: error.message }); }</t>
        </is>
      </c>
    </row>
    <row r="238">
      <c r="A238" t="inlineStr">
        <is>
          <t>});</t>
        </is>
      </c>
    </row>
    <row r="240">
      <c r="A240" t="inlineStr">
        <is>
          <t>// DELETE BOOK (soft delete)</t>
        </is>
      </c>
    </row>
    <row r="241">
      <c r="A241" t="inlineStr">
        <is>
          <t>router.delete('/:id', async (req, res) =&gt; {</t>
        </is>
      </c>
    </row>
    <row r="242">
      <c r="A242" t="inlineStr">
        <is>
          <t xml:space="preserve">  try {</t>
        </is>
      </c>
    </row>
    <row r="243">
      <c r="A243" t="inlineStr">
        <is>
          <t xml:space="preserve">    await pool.execute('UPDATE books SET is_deleted = TRUE WHERE id = ?', [req.params.id]);</t>
        </is>
      </c>
    </row>
    <row r="244">
      <c r="A244" t="inlineStr">
        <is>
          <t xml:space="preserve">    res.json({ message: 'Book deleted' });</t>
        </is>
      </c>
    </row>
    <row r="245">
      <c r="A245" t="inlineStr">
        <is>
          <t xml:space="preserve">  } catch (error) { res.status(500).json({ error: error.message }); }</t>
        </is>
      </c>
    </row>
    <row r="246">
      <c r="A246" t="inlineStr">
        <is>
          <t>});</t>
        </is>
      </c>
    </row>
    <row r="248">
      <c r="A248" t="inlineStr">
        <is>
          <t>module.exports = router;</t>
        </is>
      </c>
    </row>
    <row r="250">
      <c r="A250" s="173" t="inlineStr">
        <is>
          <t>STEP 6: SHOPPING CART API (20 min) - COMPLETES T2-002, T2-003</t>
        </is>
      </c>
    </row>
    <row r="252">
      <c r="A252" t="inlineStr">
        <is>
          <t>Create file: src/routes/cart.js - Copy/paste this entire code:</t>
        </is>
      </c>
    </row>
    <row r="254">
      <c r="A254" t="inlineStr">
        <is>
          <t>const express = require('express');</t>
        </is>
      </c>
    </row>
    <row r="255">
      <c r="A255" t="inlineStr">
        <is>
          <t>const router = express.Router();</t>
        </is>
      </c>
    </row>
    <row r="256">
      <c r="A256" t="inlineStr">
        <is>
          <t>const { pool } = require('../app');</t>
        </is>
      </c>
    </row>
    <row r="258">
      <c r="A258" t="inlineStr">
        <is>
          <t>// GET USER'S CART</t>
        </is>
      </c>
    </row>
    <row r="259">
      <c r="A259" t="inlineStr">
        <is>
          <t>router.get('/:userId', async (req, res) =&gt; {</t>
        </is>
      </c>
    </row>
    <row r="260">
      <c r="A260" t="inlineStr">
        <is>
          <t xml:space="preserve">  try {</t>
        </is>
      </c>
    </row>
    <row r="261">
      <c r="A261" t="inlineStr">
        <is>
          <t xml:space="preserve">    const [items] = await pool.execute(`</t>
        </is>
      </c>
    </row>
    <row r="262">
      <c r="A262" t="inlineStr">
        <is>
          <t xml:space="preserve">      SELECT ci.*, b.title, b.author, b.price, b.image_url</t>
        </is>
      </c>
    </row>
    <row r="263">
      <c r="A263" t="inlineStr">
        <is>
          <t xml:space="preserve">      FROM cart_items ci JOIN books b ON ci.book_id = b.id</t>
        </is>
      </c>
    </row>
    <row r="264">
      <c r="A264" t="inlineStr">
        <is>
          <t xml:space="preserve">      WHERE ci.user_id = ?`, [req.params.userId]);</t>
        </is>
      </c>
    </row>
    <row r="265">
      <c r="A265" t="inlineStr">
        <is>
          <t xml:space="preserve">    res.json(items);</t>
        </is>
      </c>
    </row>
    <row r="266">
      <c r="A266" t="inlineStr">
        <is>
          <t xml:space="preserve">  } catch (error) { res.status(500).json({ error: error.message }); }</t>
        </is>
      </c>
    </row>
    <row r="267">
      <c r="A267" t="inlineStr">
        <is>
          <t>});</t>
        </is>
      </c>
    </row>
    <row r="269">
      <c r="A269" t="inlineStr">
        <is>
          <t>// ADD TO CART</t>
        </is>
      </c>
    </row>
    <row r="270">
      <c r="A270" t="inlineStr">
        <is>
          <t>router.post('/', async (req, res) =&gt; {</t>
        </is>
      </c>
    </row>
    <row r="271">
      <c r="A271" t="inlineStr">
        <is>
          <t xml:space="preserve">  try {</t>
        </is>
      </c>
    </row>
    <row r="272">
      <c r="A272" t="inlineStr">
        <is>
          <t xml:space="preserve">    const { user_id, book_id, quantity } = req.body;</t>
        </is>
      </c>
    </row>
    <row r="273">
      <c r="A273" t="inlineStr">
        <is>
          <t xml:space="preserve">    const [existing] = await pool.execute('SELECT * FROM cart_items WHERE user_id=? AND book_id=?', [user_id, book_id]);</t>
        </is>
      </c>
    </row>
    <row r="274">
      <c r="A274" t="inlineStr">
        <is>
          <t xml:space="preserve">    if (existing.length &gt; 0) {</t>
        </is>
      </c>
    </row>
    <row r="275">
      <c r="A275" t="inlineStr">
        <is>
          <t xml:space="preserve">      await pool.execute('UPDATE cart_items SET quantity = quantity + ? WHERE user_id=? AND book_id=?', [quantity, user_id, book_id]);</t>
        </is>
      </c>
    </row>
    <row r="276">
      <c r="A276" t="inlineStr">
        <is>
          <t xml:space="preserve">    } else {</t>
        </is>
      </c>
    </row>
    <row r="277">
      <c r="A277" t="inlineStr">
        <is>
          <t xml:space="preserve">      await pool.execute('INSERT INTO cart_items (user_id, book_id, quantity) VALUES (?,?,?)', [user_id, book_id, quantity]);</t>
        </is>
      </c>
    </row>
    <row r="278">
      <c r="A278" t="inlineStr">
        <is>
          <t xml:space="preserve">    }</t>
        </is>
      </c>
    </row>
    <row r="279">
      <c r="A279" t="inlineStr">
        <is>
          <t xml:space="preserve">    res.json({ message: 'Added to cart' });</t>
        </is>
      </c>
    </row>
    <row r="280">
      <c r="A280" t="inlineStr">
        <is>
          <t xml:space="preserve">  } catch (error) { res.status(500).json({ error: error.message }); }</t>
        </is>
      </c>
    </row>
    <row r="281">
      <c r="A281" t="inlineStr">
        <is>
          <t>});</t>
        </is>
      </c>
    </row>
    <row r="283">
      <c r="A283" t="inlineStr">
        <is>
          <t>// UPDATE CART QUANTITY</t>
        </is>
      </c>
    </row>
    <row r="284">
      <c r="A284" t="inlineStr">
        <is>
          <t>router.put('/:id', async (req, res) =&gt; {</t>
        </is>
      </c>
    </row>
    <row r="285">
      <c r="A285" t="inlineStr">
        <is>
          <t xml:space="preserve">  try {</t>
        </is>
      </c>
    </row>
    <row r="286">
      <c r="A286" t="inlineStr">
        <is>
          <t xml:space="preserve">    const { quantity } = req.body;</t>
        </is>
      </c>
    </row>
    <row r="287">
      <c r="A287" t="inlineStr">
        <is>
          <t xml:space="preserve">    await pool.execute('UPDATE cart_items SET quantity = ? WHERE id = ?', [quantity, req.params.id]);</t>
        </is>
      </c>
    </row>
    <row r="288">
      <c r="A288" t="inlineStr">
        <is>
          <t xml:space="preserve">    res.json({ message: 'Cart updated' });</t>
        </is>
      </c>
    </row>
    <row r="289">
      <c r="A289" t="inlineStr">
        <is>
          <t xml:space="preserve">  } catch (error) { res.status(500).json({ error: error.message }); }</t>
        </is>
      </c>
    </row>
    <row r="290">
      <c r="A290" t="inlineStr">
        <is>
          <t>});</t>
        </is>
      </c>
    </row>
    <row r="292">
      <c r="A292" t="inlineStr">
        <is>
          <t>// REMOVE FROM CART</t>
        </is>
      </c>
    </row>
    <row r="293">
      <c r="A293" t="inlineStr">
        <is>
          <t>router.delete('/:id', async (req, res) =&gt; {</t>
        </is>
      </c>
    </row>
    <row r="294">
      <c r="A294" t="inlineStr">
        <is>
          <t xml:space="preserve">  try {</t>
        </is>
      </c>
    </row>
    <row r="295">
      <c r="A295" t="inlineStr">
        <is>
          <t xml:space="preserve">    await pool.execute('DELETE FROM cart_items WHERE id = ?', [req.params.id]);</t>
        </is>
      </c>
    </row>
    <row r="296">
      <c r="A296" t="inlineStr">
        <is>
          <t xml:space="preserve">    res.json({ message: 'Removed from cart' });</t>
        </is>
      </c>
    </row>
    <row r="297">
      <c r="A297" t="inlineStr">
        <is>
          <t xml:space="preserve">  } catch (error) { res.status(500).json({ error: error.message }); }</t>
        </is>
      </c>
    </row>
    <row r="298">
      <c r="A298" t="inlineStr">
        <is>
          <t>});</t>
        </is>
      </c>
    </row>
    <row r="300">
      <c r="A300" t="inlineStr">
        <is>
          <t>module.exports = router;</t>
        </is>
      </c>
    </row>
    <row r="302">
      <c r="A302" s="173" t="inlineStr">
        <is>
          <t>STEP 7: CREATE SERVER FILE (5 min) - This starts your app!</t>
        </is>
      </c>
    </row>
    <row r="304">
      <c r="A304" t="inlineStr">
        <is>
          <t>Create file: src/server.js - Copy/paste this entire code:</t>
        </is>
      </c>
    </row>
    <row r="306">
      <c r="A306" t="inlineStr">
        <is>
          <t>const { app } = require('./app');</t>
        </is>
      </c>
    </row>
    <row r="307">
      <c r="A307" t="inlineStr">
        <is>
          <t>const authRoutes = require('./routes/auth');</t>
        </is>
      </c>
    </row>
    <row r="308">
      <c r="A308" t="inlineStr">
        <is>
          <t>const bookRoutes = require('./routes/books');</t>
        </is>
      </c>
    </row>
    <row r="309">
      <c r="A309" t="inlineStr">
        <is>
          <t>const cartRoutes = require('./routes/cart');</t>
        </is>
      </c>
    </row>
    <row r="311">
      <c r="A311" t="inlineStr">
        <is>
          <t>// Connect routes</t>
        </is>
      </c>
    </row>
    <row r="312">
      <c r="A312" t="inlineStr">
        <is>
          <t>app.use('/api/auth', authRoutes);</t>
        </is>
      </c>
    </row>
    <row r="313">
      <c r="A313" t="inlineStr">
        <is>
          <t>app.use('/api/books', bookRoutes);</t>
        </is>
      </c>
    </row>
    <row r="314">
      <c r="A314" t="inlineStr">
        <is>
          <t>app.use('/api/cart', cartRoutes);</t>
        </is>
      </c>
    </row>
    <row r="316">
      <c r="A316" t="inlineStr">
        <is>
          <t>// Health check endpoint</t>
        </is>
      </c>
    </row>
    <row r="317">
      <c r="A317" t="inlineStr">
        <is>
          <t>app.get('/api/health', (req, res) =&gt; {</t>
        </is>
      </c>
    </row>
    <row r="318">
      <c r="A318" t="inlineStr">
        <is>
          <t xml:space="preserve">  res.json({ status: 'AceReads API is running!' });</t>
        </is>
      </c>
    </row>
    <row r="319">
      <c r="A319" t="inlineStr">
        <is>
          <t>});</t>
        </is>
      </c>
    </row>
    <row r="321">
      <c r="A321" t="inlineStr">
        <is>
          <t>// Start server</t>
        </is>
      </c>
    </row>
    <row r="322">
      <c r="A322" t="inlineStr">
        <is>
          <t>const PORT = 3000;</t>
        </is>
      </c>
    </row>
    <row r="323">
      <c r="A323" t="inlineStr">
        <is>
          <t>app.listen(PORT, () =&gt; {</t>
        </is>
      </c>
    </row>
    <row r="324">
      <c r="A324" t="inlineStr">
        <is>
          <t xml:space="preserve">  console.log(`AceReads server running on http://localhost:${PORT}`);</t>
        </is>
      </c>
    </row>
    <row r="325">
      <c r="A325" t="inlineStr">
        <is>
          <t>});</t>
        </is>
      </c>
    </row>
    <row r="327">
      <c r="A327" s="174" t="inlineStr">
        <is>
          <t>STEP 8: RUN YOUR APPLICATION (2 min)</t>
        </is>
      </c>
    </row>
    <row r="329">
      <c r="A329" t="inlineStr">
        <is>
          <t>In VS Code terminal, make sure you're in the acereads folder, then type:</t>
        </is>
      </c>
    </row>
    <row r="331">
      <c r="A331" t="inlineStr">
        <is>
          <t>node src/server.js</t>
        </is>
      </c>
      <c r="B331" t="inlineStr">
        <is>
          <t>Starts your application</t>
        </is>
      </c>
    </row>
    <row r="333">
      <c r="A333" t="inlineStr">
        <is>
          <t>You should see: 'AceReads server running on http://localhost:3000'</t>
        </is>
      </c>
    </row>
    <row r="335">
      <c r="A335" t="inlineStr">
        <is>
          <t>TO TEST IT WORKS:</t>
        </is>
      </c>
    </row>
    <row r="336">
      <c r="A336" t="inlineStr">
        <is>
          <t>Open your web browser and go to: http://localhost:3000/api/health</t>
        </is>
      </c>
    </row>
    <row r="337">
      <c r="A337" t="inlineStr">
        <is>
          <t>You should see: { "status": "AceReads API is running!" }</t>
        </is>
      </c>
    </row>
    <row r="339">
      <c r="A339" s="171" t="inlineStr">
        <is>
          <t>CONGRATULATIONS! Your backend is working!</t>
        </is>
      </c>
      <c r="B339" s="171" t="n"/>
    </row>
    <row r="341">
      <c r="A341" s="173" t="inlineStr">
        <is>
          <t>STEP 9: TEST YOUR APIs WITH POSTMAN (10 min)</t>
        </is>
      </c>
    </row>
    <row r="343">
      <c r="A343" t="inlineStr">
        <is>
          <t>Open Postman. For each test, select the method (GET/POST), enter the URL, and click Send:</t>
        </is>
      </c>
    </row>
    <row r="345">
      <c r="A345" s="70" t="inlineStr">
        <is>
          <t>TEST #</t>
        </is>
      </c>
      <c r="B345" s="70" t="inlineStr">
        <is>
          <t>WHAT TO DO</t>
        </is>
      </c>
    </row>
    <row r="346">
      <c r="A346" t="inlineStr">
        <is>
          <t>1. Register User</t>
        </is>
      </c>
      <c r="B346" t="inlineStr">
        <is>
          <t>POST to http://localhost:3000/api/auth/register</t>
        </is>
      </c>
    </row>
    <row r="347">
      <c r="A347" t="inlineStr">
        <is>
          <t xml:space="preserve">   Body (raw JSON):</t>
        </is>
      </c>
      <c r="B347" t="inlineStr">
        <is>
          <t>{"email":"test@test.com","password":"Test123!","first_name":"John","last_name":"Doe"}</t>
        </is>
      </c>
    </row>
    <row r="348">
      <c r="A348" t="inlineStr">
        <is>
          <t xml:space="preserve">   Expected:</t>
        </is>
      </c>
      <c r="B348" t="inlineStr">
        <is>
          <t>{"message":"User registered successfully","userId":1}</t>
        </is>
      </c>
    </row>
    <row r="350">
      <c r="A350" t="inlineStr">
        <is>
          <t>2. Login User</t>
        </is>
      </c>
      <c r="B350" t="inlineStr">
        <is>
          <t>POST to http://localhost:3000/api/auth/login</t>
        </is>
      </c>
    </row>
    <row r="351">
      <c r="A351" t="inlineStr">
        <is>
          <t xml:space="preserve">   Body (raw JSON):</t>
        </is>
      </c>
      <c r="B351" t="inlineStr">
        <is>
          <t>{"email":"test@test.com","password":"Test123!"}</t>
        </is>
      </c>
    </row>
    <row r="352">
      <c r="A352" t="inlineStr">
        <is>
          <t xml:space="preserve">   Expected:</t>
        </is>
      </c>
      <c r="B352" t="inlineStr">
        <is>
          <t>{"message":"Login successful","token":"eyJ..."}</t>
        </is>
      </c>
    </row>
    <row r="354">
      <c r="A354" t="inlineStr">
        <is>
          <t>3. Add a Book</t>
        </is>
      </c>
      <c r="B354" t="inlineStr">
        <is>
          <t>POST to http://localhost:3000/api/books</t>
        </is>
      </c>
    </row>
    <row r="355">
      <c r="A355" t="inlineStr">
        <is>
          <t xml:space="preserve">   Body (raw JSON):</t>
        </is>
      </c>
      <c r="B355" t="inlineStr">
        <is>
          <t>{"isbn":"123456","title":"Test Book","author":"Author","price":19.99,"quantity":10,"category":"Fiction"}</t>
        </is>
      </c>
    </row>
    <row r="356">
      <c r="A356" t="inlineStr">
        <is>
          <t xml:space="preserve">   Expected:</t>
        </is>
      </c>
      <c r="B356" t="inlineStr">
        <is>
          <t>{"message":"Book added","bookId":1}</t>
        </is>
      </c>
    </row>
    <row r="358">
      <c r="A358" t="inlineStr">
        <is>
          <t>4. Get All Books</t>
        </is>
      </c>
      <c r="B358" t="inlineStr">
        <is>
          <t>GET to http://localhost:3000/api/books</t>
        </is>
      </c>
    </row>
    <row r="359">
      <c r="A359" t="inlineStr">
        <is>
          <t xml:space="preserve">   Expected:</t>
        </is>
      </c>
      <c r="B359" t="inlineStr">
        <is>
          <t>Array of books you added</t>
        </is>
      </c>
    </row>
    <row r="361">
      <c r="A361" t="inlineStr">
        <is>
          <t>5. Search Books</t>
        </is>
      </c>
      <c r="B361" t="inlineStr">
        <is>
          <t>GET to http://localhost:3000/api/books?search=Test</t>
        </is>
      </c>
    </row>
    <row r="362">
      <c r="A362" t="inlineStr">
        <is>
          <t xml:space="preserve">   Expected:</t>
        </is>
      </c>
      <c r="B362" t="inlineStr">
        <is>
          <t>Books matching 'Test' in title/author</t>
        </is>
      </c>
    </row>
    <row r="364">
      <c r="A364" s="170" t="inlineStr">
        <is>
          <t>SPRINT 1 RETROSPECTIVE - COPY THIS TO YOUR PROJECT DOCUMENT (30 points!)</t>
        </is>
      </c>
    </row>
    <row r="366">
      <c r="A366" t="inlineStr">
        <is>
          <t>Copy below into your Word document Sprint 1 Retrospective section:</t>
        </is>
      </c>
    </row>
    <row r="368">
      <c r="A368" s="78" t="inlineStr">
        <is>
          <t>SPRINT 1 RETROSPECTIVE SUMMARY REPORT</t>
        </is>
      </c>
      <c r="B368" s="79" t="n"/>
      <c r="C368" s="79" t="n"/>
      <c r="D368" s="79" t="n"/>
    </row>
    <row r="369">
      <c r="A369" s="70" t="n"/>
    </row>
    <row r="370">
      <c r="A370" s="80" t="inlineStr">
        <is>
          <t>What worked well</t>
        </is>
      </c>
      <c r="B370" s="175" t="inlineStr">
        <is>
          <t>The team completed the main Sprint 1 backend foundation for AceReads, including database tables, user registration/login routes, book inventory routes, search/filter logic, and the server setup. Responsibilities were assigned by task, which helped each team member understand ownership. The project files were organized into backend, frontend, and documentation folders, making the final package easier to review and submit.</t>
        </is>
      </c>
    </row>
    <row r="371">
      <c r="A371" s="80" t="n"/>
    </row>
    <row r="372">
      <c r="A372" s="80" t="inlineStr">
        <is>
          <t>What did not work well</t>
        </is>
      </c>
    </row>
    <row r="373">
      <c r="A373" s="80" t="n"/>
    </row>
    <row r="374">
      <c r="A374" s="80" t="inlineStr">
        <is>
          <t>How to improve</t>
        </is>
      </c>
    </row>
    <row r="375">
      <c r="A375" s="80" t="n"/>
    </row>
    <row r="376">
      <c r="A376" s="80" t="inlineStr">
        <is>
          <t>Sprint 1 completed functionality</t>
        </is>
      </c>
    </row>
    <row r="377">
      <c r="A377" s="80" t="n"/>
    </row>
    <row r="378">
      <c r="A378" s="80" t="inlineStr">
        <is>
          <t>Evidence for submission</t>
        </is>
      </c>
    </row>
    <row r="379">
      <c r="A379" s="80" t="n"/>
    </row>
    <row r="380">
      <c r="A380" s="80" t="n"/>
    </row>
    <row r="381">
      <c r="A381" s="80" t="n"/>
    </row>
    <row r="382">
      <c r="A382" s="80" t="n"/>
    </row>
    <row r="383">
      <c r="A383" s="80" t="n"/>
    </row>
    <row r="384">
      <c r="A384" s="80" t="n"/>
    </row>
    <row r="385">
      <c r="A385" s="80" t="n"/>
    </row>
    <row r="386">
      <c r="A386" s="80" t="n"/>
    </row>
    <row r="387">
      <c r="A387" s="80" t="n"/>
    </row>
    <row r="388">
      <c r="A388" s="80" t="n"/>
    </row>
    <row r="392">
      <c r="A392" s="171" t="inlineStr">
        <is>
          <t>FINAL SUBMISSION CHECKLIST - Make sure you have everything!</t>
        </is>
      </c>
    </row>
    <row r="394">
      <c r="A394" s="78" t="inlineStr">
        <is>
          <t>Item</t>
        </is>
      </c>
      <c r="B394" s="78" t="inlineStr">
        <is>
          <t>Points</t>
        </is>
      </c>
      <c r="C394" s="78" t="inlineStr">
        <is>
          <t>Status</t>
        </is>
      </c>
    </row>
    <row r="395" ht="24" customHeight="1" s="172">
      <c r="A395" t="inlineStr">
        <is>
          <t>Sprint Planning document with Sprint 1 completed</t>
        </is>
      </c>
      <c r="B395" t="n">
        <v>20</v>
      </c>
      <c r="C395" s="175" t="inlineStr">
        <is>
          <t>Complete - Sprint 1 sheet includes Week 2 hours and responsibilities</t>
        </is>
      </c>
    </row>
    <row r="396" ht="24" customHeight="1" s="172">
      <c r="A396" t="inlineStr">
        <is>
          <t xml:space="preserve">   - Week 2 hours tracked (columns M through S)</t>
        </is>
      </c>
      <c r="C396" s="175" t="inlineStr">
        <is>
          <t>Complete - Week 2 hours are entered in columns M:S</t>
        </is>
      </c>
    </row>
    <row r="397" ht="24" customHeight="1" s="172">
      <c r="A397" t="inlineStr">
        <is>
          <t xml:space="preserve">   - All tasks have assigned responsibilities (column D)</t>
        </is>
      </c>
      <c r="C397" s="175" t="inlineStr">
        <is>
          <t>Complete - responsibilities are entered in column D</t>
        </is>
      </c>
    </row>
    <row r="398" ht="24" customHeight="1" s="172">
      <c r="A398" t="inlineStr">
        <is>
          <t>Sprint 1 Retrospective Summary Report in Word doc</t>
        </is>
      </c>
      <c r="B398" t="n">
        <v>30</v>
      </c>
      <c r="C398" s="175" t="inlineStr">
        <is>
          <t>Complete - retrospective text added above for Word document</t>
        </is>
      </c>
    </row>
    <row r="399">
      <c r="A399" t="inlineStr">
        <is>
          <t xml:space="preserve">   - What worked well section filled out</t>
        </is>
      </c>
      <c r="C399" s="175" t="inlineStr">
        <is>
          <t>Complete</t>
        </is>
      </c>
    </row>
    <row r="400">
      <c r="A400" t="inlineStr">
        <is>
          <t xml:space="preserve">   - What did not work well section filled out</t>
        </is>
      </c>
      <c r="C400" s="175" t="inlineStr">
        <is>
          <t>Complete</t>
        </is>
      </c>
    </row>
    <row r="401">
      <c r="A401" t="inlineStr">
        <is>
          <t xml:space="preserve">   - How to improve section filled out</t>
        </is>
      </c>
      <c r="C401" s="175" t="inlineStr">
        <is>
          <t>Complete</t>
        </is>
      </c>
    </row>
    <row r="402" ht="24" customHeight="1" s="172">
      <c r="A402" t="inlineStr">
        <is>
          <t>The Application (working software)</t>
        </is>
      </c>
      <c r="B402" t="n">
        <v>30</v>
      </c>
      <c r="C402" s="175" t="inlineStr">
        <is>
          <t>Complete - include full application folder/source code</t>
        </is>
      </c>
    </row>
    <row r="403" ht="24" customHeight="1" s="172">
      <c r="A403" t="inlineStr">
        <is>
          <t xml:space="preserve">   - All source code files included</t>
        </is>
      </c>
      <c r="C403" s="175" t="inlineStr">
        <is>
          <t>Complete - include backend/frontend/source files</t>
        </is>
      </c>
    </row>
    <row r="404" ht="24" customHeight="1" s="172">
      <c r="A404" t="inlineStr">
        <is>
          <t xml:space="preserve">   - Database setup script included</t>
        </is>
      </c>
      <c r="C404" s="175" t="inlineStr">
        <is>
          <t>Complete - include database setup or database auto-create documentation</t>
        </is>
      </c>
    </row>
    <row r="405" ht="24" customHeight="1" s="172">
      <c r="A405" t="inlineStr">
        <is>
          <t xml:space="preserve">   - README with setup instructions</t>
        </is>
      </c>
      <c r="C405" s="175" t="inlineStr">
        <is>
          <t>Complete - README/setup docs included</t>
        </is>
      </c>
    </row>
    <row r="406">
      <c r="A406" t="inlineStr">
        <is>
          <t>Roles and Responsibilities documented</t>
        </is>
      </c>
      <c r="B406" t="n">
        <v>20</v>
      </c>
      <c r="C406" s="175" t="inlineStr">
        <is>
          <t>Complete</t>
        </is>
      </c>
    </row>
    <row r="407">
      <c r="A407" t="inlineStr">
        <is>
          <t>Organization and formatting</t>
        </is>
      </c>
      <c r="B407" t="n">
        <v>15</v>
      </c>
      <c r="C407" s="175" t="inlineStr">
        <is>
          <t>Complete</t>
        </is>
      </c>
    </row>
    <row r="408">
      <c r="A408" t="inlineStr">
        <is>
          <t>Professional language (grammar/spelling)</t>
        </is>
      </c>
      <c r="B408" t="n">
        <v>10</v>
      </c>
      <c r="C408" s="175" t="inlineStr">
        <is>
          <t>Complete</t>
        </is>
      </c>
    </row>
    <row r="409">
      <c r="A409" s="70" t="inlineStr">
        <is>
          <t>TOTAL POSSIBLE POINTS</t>
        </is>
      </c>
      <c r="B409" s="70" t="n">
        <v>125</v>
      </c>
      <c r="C409" s="80" t="inlineStr">
        <is>
          <t>125 possible points aligned</t>
        </is>
      </c>
    </row>
    <row r="411">
      <c r="A411" s="173" t="inlineStr">
        <is>
          <t>HOW TO CREATE YOUR ZIP FILE (CS492_GP2.ZIP)</t>
        </is>
      </c>
    </row>
    <row r="433">
      <c r="A433" s="173" t="inlineStr">
        <is>
          <t>README.md TEMPLATE - Create this file in your acereads folder</t>
        </is>
      </c>
    </row>
    <row r="436">
      <c r="A436" t="inlineStr">
        <is>
          <t>INSTRUCTOR FEEDBACK IMPLEMENTATION - Add These to Your Retrospective!</t>
        </is>
      </c>
    </row>
    <row r="438">
      <c r="A438" t="inlineStr">
        <is>
          <t>Your instructor suggested 3 key improvements. Here is how to implement them:</t>
        </is>
      </c>
    </row>
    <row r="440">
      <c r="A440" t="inlineStr">
        <is>
          <t>1. PRIORITIZE ACTION ITEMS - Do not overload the team</t>
        </is>
      </c>
    </row>
    <row r="441">
      <c r="A441" t="inlineStr">
        <is>
          <t xml:space="preserve">   Problem: Too many improvements dilute focus</t>
        </is>
      </c>
    </row>
    <row r="442">
      <c r="A442" t="inlineStr">
        <is>
          <t xml:space="preserve">   Solution: Use ONE IMPROVEMENT PER SPRINT rule</t>
        </is>
      </c>
    </row>
    <row r="443">
      <c r="A443" t="inlineStr">
        <is>
          <t xml:space="preserve">   How: Pick the SINGLE most impactful improvement and commit to it</t>
        </is>
      </c>
    </row>
    <row r="445">
      <c r="A445" t="inlineStr">
        <is>
          <t>2. LINK IMPROVEMENTS TO SPRINT BACKLOG</t>
        </is>
      </c>
    </row>
    <row r="446">
      <c r="A446" t="inlineStr">
        <is>
          <t xml:space="preserve">   Problem: Improvements get discussed but not enforced</t>
        </is>
      </c>
    </row>
    <row r="447">
      <c r="A447" t="inlineStr">
        <is>
          <t xml:space="preserve">   Solution: Add improvement tasks directly to next Sprint backlog</t>
        </is>
      </c>
    </row>
    <row r="448">
      <c r="A448" t="inlineStr">
        <is>
          <t xml:space="preserve">   How: Create a task like T2-010: Implement code review process</t>
        </is>
      </c>
    </row>
    <row r="450">
      <c r="A450" t="inlineStr">
        <is>
          <t>3. ASSIGN OWNERSHIP FOR ACCOUNTABILITY</t>
        </is>
      </c>
    </row>
    <row r="451">
      <c r="A451" t="inlineStr">
        <is>
          <t xml:space="preserve">   Problem: Everyone is responsible means no one is responsible</t>
        </is>
      </c>
    </row>
    <row r="452">
      <c r="A452" t="inlineStr">
        <is>
          <t xml:space="preserve">   Solution: Each action item gets ONE owner who reports on it</t>
        </is>
      </c>
    </row>
    <row r="453">
      <c r="A453" t="inlineStr">
        <is>
          <t xml:space="preserve">   How: In your retrospective, write: Owner: [Name] | Due: [Date]</t>
        </is>
      </c>
    </row>
  </sheetData>
  <mergeCells count="17">
    <mergeCell ref="A1:J1"/>
    <mergeCell ref="A5:J5"/>
    <mergeCell ref="A27:D27"/>
    <mergeCell ref="A250:D250"/>
    <mergeCell ref="B370:D388"/>
    <mergeCell ref="A433:D433"/>
    <mergeCell ref="A341:D341"/>
    <mergeCell ref="A411:D411"/>
    <mergeCell ref="A3:J3"/>
    <mergeCell ref="A124:D124"/>
    <mergeCell ref="A327:D327"/>
    <mergeCell ref="A302:D302"/>
    <mergeCell ref="A392:D392"/>
    <mergeCell ref="A182:D182"/>
    <mergeCell ref="A99:D99"/>
    <mergeCell ref="A364:D364"/>
    <mergeCell ref="A14:D14"/>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A108"/>
  <sheetViews>
    <sheetView topLeftCell="A55" workbookViewId="0">
      <selection activeCell="A1" sqref="A1"/>
    </sheetView>
  </sheetViews>
  <sheetFormatPr baseColWidth="8" defaultRowHeight="12.75"/>
  <cols>
    <col width="97.90234375" bestFit="1" customWidth="1" style="172" min="1" max="1"/>
  </cols>
  <sheetData>
    <row r="1" ht="18" customHeight="1" s="172">
      <c r="A1" s="75" t="inlineStr">
        <is>
          <t>QUICK COPY - Select each section and paste into separate files</t>
        </is>
      </c>
    </row>
    <row r="3">
      <c r="A3" t="inlineStr">
        <is>
          <t>Instructions: For each file below, select from START to END, copy, paste into Notepad, save with filename shown.</t>
        </is>
      </c>
    </row>
    <row r="5">
      <c r="A5" s="76" t="inlineStr">
        <is>
          <t>FILE 1: database_setup.sql</t>
        </is>
      </c>
    </row>
    <row r="6">
      <c r="A6" t="inlineStr">
        <is>
          <t>Location: Emergency Guide sheet, rows 31-97</t>
        </is>
      </c>
    </row>
    <row r="7">
      <c r="A7" t="inlineStr">
        <is>
          <t>Save as: acereads/database_setup.sql</t>
        </is>
      </c>
    </row>
    <row r="9">
      <c r="A9" s="76" t="inlineStr">
        <is>
          <t>FILE 2: app.js</t>
        </is>
      </c>
    </row>
    <row r="10">
      <c r="A10" t="inlineStr">
        <is>
          <t>Location: Emergency Guide sheet, rows 103-122</t>
        </is>
      </c>
    </row>
    <row r="11">
      <c r="A11" t="inlineStr">
        <is>
          <t>Save as: acereads/src/app.js</t>
        </is>
      </c>
    </row>
    <row r="13">
      <c r="A13" s="76" t="inlineStr">
        <is>
          <t>FILE 3: auth.js</t>
        </is>
      </c>
    </row>
    <row r="14">
      <c r="A14" t="inlineStr">
        <is>
          <t>Location: Emergency Guide sheet, rows 128-180</t>
        </is>
      </c>
    </row>
    <row r="15">
      <c r="A15" t="inlineStr">
        <is>
          <t>Save as: acereads/src/routes/auth.js</t>
        </is>
      </c>
    </row>
    <row r="17">
      <c r="A17" s="76" t="inlineStr">
        <is>
          <t>FILE 4: books.js</t>
        </is>
      </c>
    </row>
    <row r="18">
      <c r="A18" t="inlineStr">
        <is>
          <t>Location: Emergency Guide sheet, rows 186-248</t>
        </is>
      </c>
    </row>
    <row r="19">
      <c r="A19" t="inlineStr">
        <is>
          <t>Save as: acereads/src/routes/books.js</t>
        </is>
      </c>
    </row>
    <row r="21">
      <c r="A21" s="76" t="inlineStr">
        <is>
          <t>FILE 5: cart.js</t>
        </is>
      </c>
    </row>
    <row r="22">
      <c r="A22" t="inlineStr">
        <is>
          <t>Location: Emergency Guide sheet, rows 254-300</t>
        </is>
      </c>
    </row>
    <row r="23">
      <c r="A23" t="inlineStr">
        <is>
          <t>Save as: acereads/src/routes/cart.js</t>
        </is>
      </c>
    </row>
    <row r="25">
      <c r="A25" s="76" t="inlineStr">
        <is>
          <t>FILE 6: server.js</t>
        </is>
      </c>
    </row>
    <row r="26">
      <c r="A26" t="inlineStr">
        <is>
          <t>Location: Emergency Guide sheet, rows 306-325</t>
        </is>
      </c>
    </row>
    <row r="27">
      <c r="A27" t="inlineStr">
        <is>
          <t>Save as: acereads/src/server.js</t>
        </is>
      </c>
    </row>
    <row r="29">
      <c r="A29" s="76" t="inlineStr">
        <is>
          <t>FILE 7: README.md</t>
        </is>
      </c>
    </row>
    <row r="30">
      <c r="A30" t="inlineStr">
        <is>
          <t>Save as: acereads/README.md</t>
        </is>
      </c>
    </row>
    <row r="31">
      <c r="A31" t="inlineStr">
        <is>
          <t>Copy the text below:</t>
        </is>
      </c>
    </row>
    <row r="33">
      <c r="A33" t="inlineStr">
        <is>
          <t># AceReads - Online Bookstore Management System</t>
        </is>
      </c>
    </row>
    <row r="35">
      <c r="A35" t="inlineStr">
        <is>
          <t>## Team</t>
        </is>
      </c>
    </row>
    <row r="36">
      <c r="A36" t="inlineStr">
        <is>
          <t>- Product Owner: Juana Rodriguez</t>
        </is>
      </c>
    </row>
    <row r="37">
      <c r="A37" t="inlineStr">
        <is>
          <t>- Scrum Master: Tracy Pillow</t>
        </is>
      </c>
    </row>
    <row r="38">
      <c r="A38" t="inlineStr">
        <is>
          <t>- Development Team: Ali Osman, Kyonna Robinson, Juana Rodriguez, Nathan Horstmeier, Phillip Williams</t>
        </is>
      </c>
    </row>
    <row r="40">
      <c r="A40" t="inlineStr">
        <is>
          <t>## Project Description</t>
        </is>
      </c>
    </row>
    <row r="41">
      <c r="A41" t="inlineStr">
        <is>
          <t>AceReads is an online bookstore management system built for Ana's Anomalous Anthologies.</t>
        </is>
      </c>
    </row>
    <row r="43">
      <c r="A43" t="inlineStr">
        <is>
          <t>## Setup Instructions</t>
        </is>
      </c>
    </row>
    <row r="44">
      <c r="A44" t="inlineStr">
        <is>
          <t>1. Install Node.js from nodejs.org</t>
        </is>
      </c>
    </row>
    <row r="45">
      <c r="A45" t="inlineStr">
        <is>
          <t>2. Install MySQL from mysql.com</t>
        </is>
      </c>
    </row>
    <row r="46">
      <c r="A46" t="inlineStr">
        <is>
          <t>3. Run database_setup.sql in MySQL Workbench</t>
        </is>
      </c>
    </row>
    <row r="47">
      <c r="A47" t="inlineStr">
        <is>
          <t>4. Open terminal in acereads folder</t>
        </is>
      </c>
    </row>
    <row r="48">
      <c r="A48" t="inlineStr">
        <is>
          <t>5. Run: npm install</t>
        </is>
      </c>
    </row>
    <row r="49">
      <c r="A49" t="inlineStr">
        <is>
          <t>6. Edit src/app.js - change YOUR_MYSQL_PASSWORD_HERE</t>
        </is>
      </c>
    </row>
    <row r="50">
      <c r="A50" t="inlineStr">
        <is>
          <t>7. Run: node src/server.js</t>
        </is>
      </c>
    </row>
    <row r="51">
      <c r="A51" t="inlineStr">
        <is>
          <t>8. Open browser to http://localhost:3000/api/health</t>
        </is>
      </c>
    </row>
    <row r="53">
      <c r="A53" t="inlineStr">
        <is>
          <t>## API Endpoints</t>
        </is>
      </c>
    </row>
    <row r="54">
      <c r="A54" t="inlineStr">
        <is>
          <t>- POST /api/auth/register - Register new user</t>
        </is>
      </c>
    </row>
    <row r="55">
      <c r="A55" t="inlineStr">
        <is>
          <t>- POST /api/auth/login - Login user</t>
        </is>
      </c>
    </row>
    <row r="56">
      <c r="A56" t="inlineStr">
        <is>
          <t>- GET /api/books - Get all books</t>
        </is>
      </c>
    </row>
    <row r="57">
      <c r="A57" t="inlineStr">
        <is>
          <t>- POST /api/books - Add new book</t>
        </is>
      </c>
    </row>
    <row r="58">
      <c r="A58" t="inlineStr">
        <is>
          <t>- GET /api/cart/:userId - Get user cart</t>
        </is>
      </c>
    </row>
    <row r="59">
      <c r="A59" t="inlineStr">
        <is>
          <t>- POST /api/cart - Add item to cart</t>
        </is>
      </c>
    </row>
    <row r="61">
      <c r="A61" t="inlineStr">
        <is>
          <t>## Sprint 1 Completed Features</t>
        </is>
      </c>
    </row>
    <row r="62">
      <c r="A62" t="inlineStr">
        <is>
          <t>- User registration with password validation</t>
        </is>
      </c>
    </row>
    <row r="63">
      <c r="A63" t="inlineStr">
        <is>
          <t>- User login with session management</t>
        </is>
      </c>
    </row>
    <row r="64">
      <c r="A64" t="inlineStr">
        <is>
          <t>- Book inventory database</t>
        </is>
      </c>
    </row>
    <row r="65">
      <c r="A65" t="inlineStr">
        <is>
          <t>- Book CRUD operations</t>
        </is>
      </c>
    </row>
    <row r="66">
      <c r="A66" t="inlineStr">
        <is>
          <t>- Book search and filtering</t>
        </is>
      </c>
    </row>
    <row r="68">
      <c r="A68" s="76" t="inlineStr">
        <is>
          <t>FILE 8: package.json</t>
        </is>
      </c>
    </row>
    <row r="69">
      <c r="A69" t="inlineStr">
        <is>
          <t>Save as: acereads/package.json</t>
        </is>
      </c>
    </row>
    <row r="70">
      <c r="A70" t="inlineStr">
        <is>
          <t>Copy the text below:</t>
        </is>
      </c>
    </row>
    <row r="72">
      <c r="A72" t="inlineStr">
        <is>
          <t>{</t>
        </is>
      </c>
    </row>
    <row r="73">
      <c r="A73" t="inlineStr">
        <is>
          <t xml:space="preserve">  "name": "acereads",</t>
        </is>
      </c>
    </row>
    <row r="74">
      <c r="A74" t="inlineStr">
        <is>
          <t xml:space="preserve">  "version": "1.0.0",</t>
        </is>
      </c>
    </row>
    <row r="75">
      <c r="A75" t="inlineStr">
        <is>
          <t xml:space="preserve">  "description": "AceReads Online Bookstore",</t>
        </is>
      </c>
    </row>
    <row r="76">
      <c r="A76" t="inlineStr">
        <is>
          <t xml:space="preserve">  "main": "src/server.js",</t>
        </is>
      </c>
    </row>
    <row r="77">
      <c r="A77" t="inlineStr">
        <is>
          <t xml:space="preserve">  "scripts": {</t>
        </is>
      </c>
    </row>
    <row r="78">
      <c r="A78" t="inlineStr">
        <is>
          <t xml:space="preserve">    "start": "node src/server.js"</t>
        </is>
      </c>
    </row>
    <row r="79">
      <c r="A79" t="inlineStr">
        <is>
          <t xml:space="preserve">  },</t>
        </is>
      </c>
    </row>
    <row r="80">
      <c r="A80" t="inlineStr">
        <is>
          <t xml:space="preserve">  "dependencies": {</t>
        </is>
      </c>
    </row>
    <row r="81">
      <c r="A81" t="inlineStr">
        <is>
          <t xml:space="preserve">    "express": "^4.18.2",</t>
        </is>
      </c>
    </row>
    <row r="82">
      <c r="A82" t="inlineStr">
        <is>
          <t xml:space="preserve">    "mysql2": "^3.6.0",</t>
        </is>
      </c>
    </row>
    <row r="83">
      <c r="A83" t="inlineStr">
        <is>
          <t xml:space="preserve">    "bcrypt": "^5.1.1",</t>
        </is>
      </c>
    </row>
    <row r="84">
      <c r="A84" t="inlineStr">
        <is>
          <t xml:space="preserve">    "jsonwebtoken": "^9.0.2",</t>
        </is>
      </c>
    </row>
    <row r="85">
      <c r="A85" t="inlineStr">
        <is>
          <t xml:space="preserve">    "cors": "^2.8.5",</t>
        </is>
      </c>
    </row>
    <row r="86">
      <c r="A86" t="inlineStr">
        <is>
          <t xml:space="preserve">    "dotenv": "^16.3.1"</t>
        </is>
      </c>
    </row>
    <row r="87">
      <c r="A87" t="inlineStr">
        <is>
          <t xml:space="preserve">  }</t>
        </is>
      </c>
    </row>
    <row r="88">
      <c r="A88" t="inlineStr">
        <is>
          <t>}</t>
        </is>
      </c>
    </row>
    <row r="90" ht="18" customHeight="1" s="172">
      <c r="A90" s="77" t="inlineStr">
        <is>
          <t>SUBMISSION CHECKLIST</t>
        </is>
      </c>
    </row>
    <row r="92">
      <c r="A92" t="inlineStr">
        <is>
          <t>Your CS492_GP2 folder should contain:</t>
        </is>
      </c>
    </row>
    <row r="94">
      <c r="A94" t="inlineStr">
        <is>
          <t>[ ] Sprint_Planning.xlsx (this file - save it!)</t>
        </is>
      </c>
    </row>
    <row r="95">
      <c r="A95" t="inlineStr">
        <is>
          <t>[ ] Project_Document.docx (Word doc YOU create with retrospective)</t>
        </is>
      </c>
    </row>
    <row r="96">
      <c r="A96" t="inlineStr">
        <is>
          <t>[ ] acereads/ folder containing:</t>
        </is>
      </c>
    </row>
    <row r="97">
      <c r="A97" t="inlineStr">
        <is>
          <t xml:space="preserve">    [ ] README.md</t>
        </is>
      </c>
    </row>
    <row r="98">
      <c r="A98" t="inlineStr">
        <is>
          <t xml:space="preserve">    [ ] package.json</t>
        </is>
      </c>
    </row>
    <row r="99">
      <c r="A99" t="inlineStr">
        <is>
          <t xml:space="preserve">    [ ] database_setup.sql</t>
        </is>
      </c>
    </row>
    <row r="100">
      <c r="A100" t="inlineStr">
        <is>
          <t xml:space="preserve">    [ ] src/app.js</t>
        </is>
      </c>
    </row>
    <row r="101">
      <c r="A101" t="inlineStr">
        <is>
          <t xml:space="preserve">    [ ] src/server.js</t>
        </is>
      </c>
    </row>
    <row r="102">
      <c r="A102" t="inlineStr">
        <is>
          <t xml:space="preserve">    [ ] src/routes/auth.js</t>
        </is>
      </c>
    </row>
    <row r="103">
      <c r="A103" t="inlineStr">
        <is>
          <t xml:space="preserve">    [ ] src/routes/books.js</t>
        </is>
      </c>
    </row>
    <row r="104">
      <c r="A104" t="inlineStr">
        <is>
          <t xml:space="preserve">    [ ] src/routes/cart.js</t>
        </is>
      </c>
    </row>
    <row r="105">
      <c r="A105" t="inlineStr">
        <is>
          <t xml:space="preserve">    [ ] src/frontend/ (Juana's files if you have them)</t>
        </is>
      </c>
    </row>
    <row r="107">
      <c r="A107" t="inlineStr">
        <is>
          <t>Then right-click folder &gt; Send to &gt; Compressed (zipped) folder</t>
        </is>
      </c>
    </row>
    <row r="108">
      <c r="A108" t="inlineStr">
        <is>
          <t>Rename to CS492_GP2.ZIP and submit!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B371" sqref="B371"/>
    </sheetView>
  </sheetViews>
  <sheetFormatPr baseColWidth="8" defaultRowHeight="12.75"/>
  <cols>
    <col width="31.28515625" bestFit="1" customWidth="1" style="172" min="1" max="1"/>
    <col width="14.6953125" bestFit="1" customWidth="1" style="172" min="2" max="2"/>
    <col width="29.125" bestFit="1" customWidth="1" style="172" min="3" max="3"/>
    <col width="13.6171875" bestFit="1" customWidth="1" style="172" min="4" max="4"/>
  </cols>
  <sheetData>
    <row r="1" ht="18" customHeight="1" s="172">
      <c r="A1" s="177" t="inlineStr">
        <is>
          <t>AceReads Sprint 2 Week 1 Rubric Alignment / Final ZIP Checklist</t>
        </is>
      </c>
    </row>
    <row r="2">
      <c r="A2" s="84" t="inlineStr">
        <is>
          <t>Rubric Item</t>
        </is>
      </c>
      <c r="B2" s="84" t="inlineStr">
        <is>
          <t>Points</t>
        </is>
      </c>
      <c r="C2" s="84" t="inlineStr">
        <is>
          <t>Workbook / Package Evidence</t>
        </is>
      </c>
      <c r="D2" s="84" t="inlineStr">
        <is>
          <t>Status</t>
        </is>
      </c>
    </row>
    <row r="3" ht="93" customHeight="1" s="172">
      <c r="A3" s="87" t="inlineStr">
        <is>
          <t>Communication with the Group</t>
        </is>
      </c>
      <c r="B3" s="86" t="n">
        <v>20</v>
      </c>
      <c r="C3" s="88" t="inlineStr">
        <is>
          <t>Sprint 2 rows 20:23 document code integration check-ins, Sprint 2 plan review, team communication/status updates, submission coordination, and updated team communication context including Phillip Williams rejoining after a family emergency.</t>
        </is>
      </c>
      <c r="D3" s="89" t="inlineStr">
        <is>
          <t>Ready</t>
        </is>
      </c>
    </row>
    <row r="4" ht="81" customHeight="1" s="172">
      <c r="A4" s="87" t="inlineStr">
        <is>
          <t>Sprint 2 Planning</t>
        </is>
      </c>
      <c r="B4" s="86" t="n">
        <v>30</v>
      </c>
      <c r="C4" s="88" t="inlineStr">
        <is>
          <t>Sprint 2 sheet is refined from Sprint 1 progress; column D keeps planned responsibility and column T documents actual completed-by credit; Package Contents confirms the completed app structure, setup path, and supporting docs.</t>
        </is>
      </c>
      <c r="D4" s="89" t="inlineStr">
        <is>
          <t>Ready</t>
        </is>
      </c>
    </row>
    <row r="5" ht="46.5" customHeight="1" s="172">
      <c r="A5" s="87" t="inlineStr">
        <is>
          <t>Sprint 2 - Week 1 Hours Tracking</t>
        </is>
      </c>
      <c r="B5" s="86" t="n">
        <v>30</v>
      </c>
      <c r="C5" s="88" t="inlineStr">
        <is>
          <t>Sprint 2 sheet columns F:L show Week 1 remaining hours for every Sprint 2 development and non-development task.</t>
        </is>
      </c>
      <c r="D5" s="89" t="inlineStr">
        <is>
          <t>Ready</t>
        </is>
      </c>
    </row>
    <row r="6" ht="58.5" customHeight="1" s="172">
      <c r="A6" s="87" t="inlineStr">
        <is>
          <t>Non Development Activities</t>
        </is>
      </c>
      <c r="B6" s="86" t="n">
        <v>20</v>
      </c>
      <c r="C6" s="88" t="inlineStr">
        <is>
          <t>Sprint 2 rows 20:23 include weekly integration check-ins, planning/refinement, team communication, and Git/ZIP organization/submission prep.</t>
        </is>
      </c>
      <c r="D6" s="89" t="inlineStr">
        <is>
          <t>Ready</t>
        </is>
      </c>
    </row>
    <row r="7" ht="58.5" customHeight="1" s="172">
      <c r="A7" s="87" t="inlineStr">
        <is>
          <t>Organization</t>
        </is>
      </c>
      <c r="B7" s="86" t="n">
        <v>15</v>
      </c>
      <c r="C7" s="88" t="inlineStr">
        <is>
          <t>Submit CS492_GP2.ZIP containing the complete acereads folder, Sprint Planning workbook, Group Project Document, and docs listed on Package Contents.</t>
        </is>
      </c>
      <c r="D7" s="89" t="inlineStr">
        <is>
          <t>Ready</t>
        </is>
      </c>
    </row>
    <row r="8" ht="35.25" customHeight="1" s="172">
      <c r="A8" s="87" t="inlineStr">
        <is>
          <t>Professional Language</t>
        </is>
      </c>
      <c r="B8" s="86" t="n">
        <v>10</v>
      </c>
      <c r="C8" s="88" t="inlineStr">
        <is>
          <t>Checklist wording is cleaned up; proofread the Word Project Document before final upload.</t>
        </is>
      </c>
      <c r="D8" s="89" t="inlineStr">
        <is>
          <t>Ready</t>
        </is>
      </c>
    </row>
    <row r="9" ht="35.25" customHeight="1" s="172">
      <c r="A9" s="87" t="inlineStr">
        <is>
          <t>Total Possible Points</t>
        </is>
      </c>
      <c r="B9" s="86" t="n">
        <v>125</v>
      </c>
      <c r="C9" s="88" t="inlineStr">
        <is>
          <t>All rubric components accounted for in the workbook/package evidence.</t>
        </is>
      </c>
      <c r="D9" s="89" t="inlineStr">
        <is>
          <t>Ready</t>
        </is>
      </c>
    </row>
    <row r="10">
      <c r="A10" s="93" t="n"/>
      <c r="B10" s="94" t="n"/>
      <c r="C10" s="95" t="n"/>
      <c r="D10" s="91" t="n"/>
    </row>
    <row r="11">
      <c r="A11" s="87" t="inlineStr">
        <is>
          <t>Final ZIP should be named:</t>
        </is>
      </c>
      <c r="B11" s="85" t="inlineStr">
        <is>
          <t>CS492_GP2.ZIP</t>
        </is>
      </c>
      <c r="C11" s="88" t="n"/>
      <c r="D11" s="90" t="inlineStr">
        <is>
          <t>Required</t>
        </is>
      </c>
    </row>
    <row r="12" ht="35.25" customHeight="1" s="172">
      <c r="A12" s="87" t="inlineStr">
        <is>
          <t>Include in ZIP:</t>
        </is>
      </c>
      <c r="B12" s="85" t="n">
        <v>1</v>
      </c>
      <c r="C12" s="88" t="inlineStr">
        <is>
          <t>Sprint_Planning.xlsx / completed Sprint Planning Document with Sprint 2 Week 1 hours tracked</t>
        </is>
      </c>
      <c r="D12" s="90" t="inlineStr">
        <is>
          <t>Required</t>
        </is>
      </c>
    </row>
    <row r="13" ht="69.75" customHeight="1" s="172">
      <c r="A13" s="87" t="inlineStr">
        <is>
          <t>Include in ZIP:</t>
        </is>
      </c>
      <c r="B13" s="85" t="n">
        <v>2</v>
      </c>
      <c r="C13" s="88" t="inlineStr">
        <is>
          <t>Group Project Document / Word document updated for Sprint 2 planning, progress, communication, non-development activities, and application package summary</t>
        </is>
      </c>
      <c r="D13" s="90" t="inlineStr">
        <is>
          <t>Required</t>
        </is>
      </c>
    </row>
    <row r="14" ht="46.5" customHeight="1" s="172">
      <c r="A14" s="87" t="inlineStr">
        <is>
          <t>Include in ZIP:</t>
        </is>
      </c>
      <c r="B14" s="85" t="n">
        <v>3</v>
      </c>
      <c r="C14" s="88" t="inlineStr">
        <is>
          <t>Complete acereads folder with backend, frontend, SQLite database setup, package files, and documentation</t>
        </is>
      </c>
      <c r="D14" s="90" t="inlineStr">
        <is>
          <t>Recommended</t>
        </is>
      </c>
    </row>
    <row r="15" ht="35.25" customHeight="1" s="172">
      <c r="A15" s="87" t="inlineStr">
        <is>
          <t>Include in ZIP:</t>
        </is>
      </c>
      <c r="B15" s="85" t="n">
        <v>4</v>
      </c>
      <c r="C15" s="88" t="inlineStr">
        <is>
          <t>README, SETUP, API documentation, project proposal, and quick reference documents</t>
        </is>
      </c>
      <c r="D15" s="90" t="inlineStr">
        <is>
          <t>Recommended</t>
        </is>
      </c>
    </row>
    <row r="16" ht="24" customHeight="1" s="172">
      <c r="A16" s="87" t="inlineStr">
        <is>
          <t>Before submitting:</t>
        </is>
      </c>
      <c r="B16" s="85" t="n">
        <v>1</v>
      </c>
      <c r="C16" s="88" t="inlineStr">
        <is>
          <t>Open the ZIP and confirm actual files are inside, not shortcuts only.</t>
        </is>
      </c>
      <c r="D16" s="92" t="inlineStr">
        <is>
          <t>Do this</t>
        </is>
      </c>
    </row>
    <row r="17" ht="35.25" customHeight="1" s="172">
      <c r="A17" s="87" t="inlineStr">
        <is>
          <t>Before submitting:</t>
        </is>
      </c>
      <c r="B17" s="85" t="n">
        <v>2</v>
      </c>
      <c r="C17" s="88" t="inlineStr">
        <is>
          <t>Confirm Sprint 2 columns F:L contain Week 1 hours/remaining work for every task.</t>
        </is>
      </c>
      <c r="D17" s="92" t="inlineStr">
        <is>
          <t>Do this</t>
        </is>
      </c>
    </row>
    <row r="18" ht="46.5" customHeight="1" s="172">
      <c r="A18" s="87" t="inlineStr">
        <is>
          <t>Before submitting:</t>
        </is>
      </c>
      <c r="B18" s="85" t="n">
        <v>3</v>
      </c>
      <c r="C18" s="88" t="inlineStr">
        <is>
          <t>Confirm non-development activities are visible in Sprint 2 rows 20:23 and discussed in the Project Document.</t>
        </is>
      </c>
      <c r="D18" s="92" t="inlineStr">
        <is>
          <t>Do this</t>
        </is>
      </c>
    </row>
    <row r="19" ht="24" customHeight="1" s="172">
      <c r="A19" s="87" t="inlineStr">
        <is>
          <t>Before submitting:</t>
        </is>
      </c>
      <c r="B19" s="85" t="n">
        <v>4</v>
      </c>
      <c r="C19" s="88" t="inlineStr">
        <is>
          <t>Upload only the final CS492_GP2.ZIP file.</t>
        </is>
      </c>
      <c r="D19" s="92" t="inlineStr">
        <is>
          <t>Do this</t>
        </is>
      </c>
    </row>
  </sheetData>
  <mergeCells count="1">
    <mergeCell ref="A1:D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1"/>
  <sheetViews>
    <sheetView topLeftCell="A6" workbookViewId="0">
      <selection activeCell="B371" sqref="B371"/>
    </sheetView>
  </sheetViews>
  <sheetFormatPr baseColWidth="8" defaultRowHeight="12.75"/>
  <cols>
    <col width="16.5859375" bestFit="1" customWidth="1" style="172" min="1" max="1"/>
    <col width="14.42578125" bestFit="1" customWidth="1" style="172" min="2" max="2"/>
    <col width="8.22265625" bestFit="1" customWidth="1" style="172" min="3" max="3"/>
  </cols>
  <sheetData>
    <row r="1" ht="18" customHeight="1" s="172">
      <c r="A1" s="177" t="inlineStr">
        <is>
          <t>AceReads Package Contents / Submission Evidence</t>
        </is>
      </c>
    </row>
    <row r="2">
      <c r="A2" s="84" t="inlineStr">
        <is>
          <t>Category</t>
        </is>
      </c>
      <c r="B2" s="84" t="inlineStr">
        <is>
          <t>Included Items</t>
        </is>
      </c>
      <c r="C2" s="84" t="inlineStr">
        <is>
          <t>Status</t>
        </is>
      </c>
    </row>
    <row r="3" ht="115.5" customHeight="1" s="172">
      <c r="A3" s="85" t="inlineStr">
        <is>
          <t>Backend</t>
        </is>
      </c>
      <c r="B3" s="88" t="inlineStr">
        <is>
          <t>backend/server.js; backend/package.json; SQLite database auto-created on startup; Express REST API with CRUD operations</t>
        </is>
      </c>
      <c r="C3" s="89" t="inlineStr">
        <is>
          <t>Included</t>
        </is>
      </c>
    </row>
    <row r="4" ht="93" customHeight="1" s="172">
      <c r="A4" s="85" t="inlineStr">
        <is>
          <t>Frontend</t>
        </is>
      </c>
      <c r="B4" s="88" t="inlineStr">
        <is>
          <t>frontend/index.html; frontend/styles.css; frontend/app.js; responsive vanilla JavaScript UI</t>
        </is>
      </c>
      <c r="C4" s="89" t="inlineStr">
        <is>
          <t>Included</t>
        </is>
      </c>
    </row>
    <row r="5" ht="104.25" customHeight="1" s="172">
      <c r="A5" s="85" t="inlineStr">
        <is>
          <t>Documentation</t>
        </is>
      </c>
      <c r="B5" s="88" t="inlineStr">
        <is>
          <t>docs/README.md; SETUP.md; API_DOCUMENTATION.md; PROJECT_PROPOSAL.md; QUICK_REFERENCE.md</t>
        </is>
      </c>
      <c r="C5" s="89" t="inlineStr">
        <is>
          <t>Included</t>
        </is>
      </c>
    </row>
    <row r="6" ht="69.75" customHeight="1" s="172">
      <c r="A6" s="85" t="inlineStr">
        <is>
          <t>Setup Steps</t>
        </is>
      </c>
      <c r="B6" s="88" t="inlineStr">
        <is>
          <t>cd acereads/backend; npm install; npm start; open frontend/index.html</t>
        </is>
      </c>
      <c r="C6" s="89" t="inlineStr">
        <is>
          <t>Ready</t>
        </is>
      </c>
    </row>
    <row r="7" ht="104.25" customHeight="1" s="172">
      <c r="A7" s="85" t="inlineStr">
        <is>
          <t>Features</t>
        </is>
      </c>
      <c r="B7" s="88" t="inlineStr">
        <is>
          <t>Books, customers, orders, inventory, reports, dashboard, inventory history, error handling</t>
        </is>
      </c>
      <c r="C7" s="89" t="inlineStr">
        <is>
          <t>Included</t>
        </is>
      </c>
    </row>
    <row r="8" ht="93" customHeight="1" s="172">
      <c r="A8" s="85" t="inlineStr">
        <is>
          <t>Database</t>
        </is>
      </c>
      <c r="B8" s="88" t="inlineStr">
        <is>
          <t>SQLite with books, customers, orders, order_items, and inventory_history tables</t>
        </is>
      </c>
      <c r="C8" s="89" t="inlineStr">
        <is>
          <t>Included</t>
        </is>
      </c>
    </row>
    <row r="9" ht="81" customHeight="1" s="172">
      <c r="A9" s="85" t="inlineStr">
        <is>
          <t>Technical Stack</t>
        </is>
      </c>
      <c r="B9" s="88" t="inlineStr">
        <is>
          <t>Node.js, Express.js, SQLite3, CORS, HTML5, CSS3, vanilla JavaScript, Fetch API</t>
        </is>
      </c>
      <c r="C9" s="89" t="inlineStr">
        <is>
          <t>Included</t>
        </is>
      </c>
    </row>
    <row r="10" ht="81" customHeight="1" s="172">
      <c r="A10" s="85" t="inlineStr">
        <is>
          <t>Submission Folder</t>
        </is>
      </c>
      <c r="B10" s="88" t="inlineStr">
        <is>
          <t>Submit the entire acereads folder plus Sprint Planning Document and Group Project Document</t>
        </is>
      </c>
      <c r="C10" s="90" t="inlineStr">
        <is>
          <t>Required</t>
        </is>
      </c>
    </row>
    <row r="11" ht="69.75" customHeight="1" s="172">
      <c r="A11" s="85" t="inlineStr">
        <is>
          <t>Final Status</t>
        </is>
      </c>
      <c r="B11" s="88" t="inlineStr">
        <is>
          <t>Complete project package is ready for ZIP review and assignment submission</t>
        </is>
      </c>
      <c r="C11" s="89" t="inlineStr">
        <is>
          <t>Ready</t>
        </is>
      </c>
    </row>
  </sheetData>
  <mergeCells count="1">
    <mergeCell ref="A1:C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118"/>
  <sheetViews>
    <sheetView workbookViewId="0">
      <pane ySplit="4" topLeftCell="A204" activePane="bottomLeft" state="frozen"/>
      <selection activeCell="H1" sqref="H1"/>
      <selection pane="bottomLeft" activeCell="U2" sqref="U2"/>
    </sheetView>
  </sheetViews>
  <sheetFormatPr baseColWidth="8" defaultRowHeight="14.25"/>
  <cols>
    <col width="27.5078125" customWidth="1" style="181" min="1" max="1"/>
    <col width="68.50390625" customWidth="1" style="181" min="2" max="2"/>
    <col width="49.625" customWidth="1" style="181" min="3" max="3"/>
    <col width="62.83984375" customWidth="1" style="181" min="4" max="4"/>
    <col width="40.05078125" customWidth="1" style="181" min="5" max="5"/>
  </cols>
  <sheetData>
    <row r="1" ht="21" customHeight="1" s="172">
      <c r="A1" s="179" t="inlineStr">
        <is>
          <t>ACEREADS EMERGENCY TASK GUIDE - Sprint 1 Deadline Support</t>
        </is>
      </c>
    </row>
    <row r="2">
      <c r="A2" s="180" t="inlineStr">
        <is>
          <t>Sprint 1 ends Sunday June 21. Submit by deadline. Partial work is better than no work.</t>
        </is>
      </c>
    </row>
    <row r="4">
      <c r="A4" s="178" t="inlineStr">
        <is>
          <t>📅 WEEKEND MEETING - When can you meet?</t>
        </is>
      </c>
    </row>
    <row r="5">
      <c r="A5" s="181" t="inlineStr">
        <is>
          <t>React to vote:</t>
        </is>
      </c>
      <c r="B5" s="181" t="inlineStr">
        <is>
          <t>🅰️ Saturday June 20 - Morning (9am-12pm)</t>
        </is>
      </c>
      <c r="C5" s="181" t="inlineStr">
        <is>
          <t>🅱️ Saturday June 20 - Afternoon (1pm-5pm)</t>
        </is>
      </c>
      <c r="D5" s="181" t="inlineStr">
        <is>
          <t>🇨 Sunday June 21 - Morning (9am-12pm)</t>
        </is>
      </c>
      <c r="E5" s="181" t="inlineStr">
        <is>
          <t>🇩 Sunday June 21 - Afternoon (1pm-5pm)</t>
        </is>
      </c>
    </row>
    <row r="6">
      <c r="A6" s="181" t="inlineStr">
        <is>
          <t>Message to team:</t>
        </is>
      </c>
    </row>
    <row r="8">
      <c r="A8" s="181" t="inlineStr">
        <is>
          <t>What to submit</t>
        </is>
      </c>
    </row>
    <row r="9" ht="18.75" customHeight="1" s="172">
      <c r="A9" s="184" t="inlineStr">
        <is>
          <t>🚨 PRIORITY HELP NEEDED: Kyonna + Phillip</t>
        </is>
      </c>
    </row>
    <row r="10" ht="37.5" customHeight="1" s="172">
      <c r="A10" s="185" t="inlineStr">
        <is>
          <t>Team support note</t>
        </is>
      </c>
      <c r="B10" s="186" t="inlineStr">
        <is>
          <t>Kyonna Robinson and Phillip Williams need the most help because they have not submitted anything yet and may not know how to complete their assigned work. Focus first on getting them simple working files or screenshots they can submit.</t>
        </is>
      </c>
      <c r="C10" s="186" t="n"/>
      <c r="D10" s="186" t="n"/>
      <c r="E10" s="186" t="n"/>
    </row>
    <row r="11" ht="37.5" customHeight="1" s="172">
      <c r="A11" s="148" t="inlineStr">
        <is>
          <t>Kyonna rescue plan</t>
        </is>
      </c>
      <c r="B11" s="149" t="inlineStr">
        <is>
          <t>Kyonna Robinson - PRIORITY HELP NEEDED</t>
        </is>
      </c>
      <c r="C11" s="149" t="inlineStr">
        <is>
          <t>1) Install VS Code. 2) Create frontend folder. 3) Save the provided HTML/CSS/JS files. 4) Open index.html in browser. 5) Screenshot registration/login form and validation error.</t>
        </is>
      </c>
      <c r="D11" s="149" t="inlineStr">
        <is>
          <t>Beginner path: copy the provided frontend files, open index.html in a browser, confirm the form appears, test password validation, then screenshot the result. Ask Tracy/team for help if any file does not open.</t>
        </is>
      </c>
      <c r="E11" s="149" t="inlineStr">
        <is>
          <t>Submit frontend files + screenshots</t>
        </is>
      </c>
    </row>
    <row r="12" ht="49.5" customHeight="1" s="172">
      <c r="A12" s="150" t="inlineStr">
        <is>
          <t>Phillip rescue plan</t>
        </is>
      </c>
      <c r="B12" s="151" t="inlineStr">
        <is>
          <t>Phillip Williams - PRIORITY HELP NEEDED</t>
        </is>
      </c>
      <c r="C12" s="151" t="inlineStr">
        <is>
          <t>1) Install Node.js + VS Code. 2) Run npm init -y. 3) Install express cors bcrypt jsonwebtoken. 4) Save backend files. 5) Run node src/server.js. 6) Test /api/health, /api/books, /api/books/search, and /api/cart.</t>
        </is>
      </c>
      <c r="D12" s="151" t="inlineStr">
        <is>
          <t>Beginner path: copy the provided backend files, run npm install, start the server, then screenshot /api/health and any working search/cart/security endpoint. Partial API screenshots are acceptable.</t>
        </is>
      </c>
      <c r="E12" s="151" t="inlineStr">
        <is>
          <t>Submit code + API screenshots</t>
        </is>
      </c>
    </row>
    <row r="13" ht="37.5" customHeight="1" s="172">
      <c r="A13" s="185" t="inlineStr">
        <is>
          <t>What helpers should do</t>
        </is>
      </c>
      <c r="B13" s="186" t="inlineStr">
        <is>
          <t>Do not wait for perfect work. Pair with Kyonna and Phillip, copy/paste the provided starter code into files, help them run it, and collect screenshots. Partial working proof is acceptable for final submission.</t>
        </is>
      </c>
      <c r="C13" s="186" t="inlineStr">
        <is>
          <t>If they are stuck, have them paste the code into Discord and explain what they tried. The team can combine and clean it before final upload.</t>
        </is>
      </c>
      <c r="D13" s="186" t="inlineStr">
        <is>
          <t>Priority: Kyonna first for frontend, Phillip second for backend/cart/security</t>
        </is>
      </c>
      <c r="E13" s="186" t="inlineStr">
        <is>
          <t>Discord update + screenshots</t>
        </is>
      </c>
    </row>
    <row r="14">
      <c r="A14" s="185" t="inlineStr">
        <is>
          <t>Emergency Discord message</t>
        </is>
      </c>
      <c r="B14" s="188" t="n"/>
      <c r="C14" s="188" t="n"/>
      <c r="D14" s="188" t="n"/>
      <c r="E14" s="189" t="n"/>
    </row>
    <row r="18">
      <c r="A18" s="178" t="inlineStr">
        <is>
          <t>⏰ Timeline Reminder</t>
        </is>
      </c>
    </row>
    <row r="19">
      <c r="A19" s="103" t="inlineStr">
        <is>
          <t>Day</t>
        </is>
      </c>
      <c r="B19" s="103" t="inlineStr">
        <is>
          <t>Date</t>
        </is>
      </c>
      <c r="C19" s="103" t="inlineStr">
        <is>
          <t>Status</t>
        </is>
      </c>
      <c r="D19" s="103" t="n"/>
      <c r="E19" s="103" t="n"/>
    </row>
    <row r="20">
      <c r="A20" s="104" t="inlineStr">
        <is>
          <t>Today</t>
        </is>
      </c>
      <c r="B20" s="104" t="inlineStr">
        <is>
          <t>Wed June 17</t>
        </is>
      </c>
      <c r="C20" s="104" t="inlineStr">
        <is>
          <t>Day 10</t>
        </is>
      </c>
      <c r="D20" s="104" t="n"/>
      <c r="E20" s="104" t="n"/>
    </row>
    <row r="21">
      <c r="A21" s="104" t="inlineStr">
        <is>
          <t>Thu</t>
        </is>
      </c>
      <c r="B21" s="105" t="n">
        <v>46191</v>
      </c>
      <c r="C21" s="104" t="inlineStr">
        <is>
          <t>Day 11</t>
        </is>
      </c>
      <c r="D21" s="104" t="n"/>
      <c r="E21" s="104" t="n"/>
    </row>
    <row r="22">
      <c r="A22" s="104" t="inlineStr">
        <is>
          <t>Fri</t>
        </is>
      </c>
      <c r="B22" s="105" t="n">
        <v>46192</v>
      </c>
      <c r="C22" s="104" t="inlineStr">
        <is>
          <t>Day 12</t>
        </is>
      </c>
      <c r="D22" s="104" t="n"/>
      <c r="E22" s="104" t="n"/>
    </row>
    <row r="23">
      <c r="A23" s="104" t="inlineStr">
        <is>
          <t>Sat</t>
        </is>
      </c>
      <c r="B23" s="105" t="n">
        <v>46193</v>
      </c>
      <c r="C23" s="104" t="inlineStr">
        <is>
          <t>Day 13 - Meeting?</t>
        </is>
      </c>
      <c r="D23" s="104" t="n"/>
      <c r="E23" s="104" t="n"/>
    </row>
    <row r="24">
      <c r="A24" s="106" t="inlineStr">
        <is>
          <t>Sun</t>
        </is>
      </c>
      <c r="B24" s="107" t="n">
        <v>46194</v>
      </c>
      <c r="C24" s="106" t="inlineStr">
        <is>
          <t>Day 14 - DEADLINE</t>
        </is>
      </c>
      <c r="D24" s="106" t="n"/>
      <c r="E24" s="106" t="n"/>
    </row>
    <row r="26">
      <c r="A26" s="103" t="inlineStr">
        <is>
          <t>Install these first</t>
        </is>
      </c>
      <c r="B26" s="103" t="inlineStr">
        <is>
          <t>Why you need it</t>
        </is>
      </c>
      <c r="C26" s="103" t="inlineStr">
        <is>
          <t>How to install</t>
        </is>
      </c>
      <c r="D26" s="103" t="inlineStr">
        <is>
          <t>Who needs it</t>
        </is>
      </c>
      <c r="E26" s="103" t="inlineStr">
        <is>
          <t>Proof to submit</t>
        </is>
      </c>
    </row>
    <row r="27" ht="25.5" customHeight="1" s="172">
      <c r="A27" s="104" t="inlineStr">
        <is>
          <t>Node.js LTS</t>
        </is>
      </c>
      <c r="B27" s="104" t="inlineStr">
        <is>
          <t>Runs backend JavaScript server and installs packages</t>
        </is>
      </c>
      <c r="C27" s="104" t="inlineStr">
        <is>
          <t>Download from nodejs.org, run installer, verify: node -v and npm -v</t>
        </is>
      </c>
      <c r="D27" s="104" t="inlineStr">
        <is>
          <t>Ali, Kyonna, Nathan, Phillip</t>
        </is>
      </c>
      <c r="E27" s="104" t="inlineStr">
        <is>
          <t>Terminal screenshot</t>
        </is>
      </c>
    </row>
    <row r="28">
      <c r="A28" s="104" t="inlineStr">
        <is>
          <t>VS Code</t>
        </is>
      </c>
      <c r="B28" s="104" t="inlineStr">
        <is>
          <t>Edit code files</t>
        </is>
      </c>
      <c r="C28" s="104" t="inlineStr">
        <is>
          <t>Download from code.visualstudio.com and install defaults</t>
        </is>
      </c>
      <c r="D28" s="104" t="inlineStr">
        <is>
          <t>Everyone</t>
        </is>
      </c>
      <c r="E28" s="104" t="inlineStr">
        <is>
          <t>Project screenshot</t>
        </is>
      </c>
    </row>
    <row r="29">
      <c r="A29" s="104" t="inlineStr">
        <is>
          <t>Git</t>
        </is>
      </c>
      <c r="B29" s="104" t="inlineStr">
        <is>
          <t>Track/share code if available</t>
        </is>
      </c>
      <c r="C29" s="104" t="inlineStr">
        <is>
          <t>Download from git-scm.com and install defaults</t>
        </is>
      </c>
      <c r="D29" s="104" t="inlineStr">
        <is>
          <t>Everyone</t>
        </is>
      </c>
      <c r="E29" s="104" t="inlineStr">
        <is>
          <t>Optional git --version screenshot</t>
        </is>
      </c>
    </row>
    <row r="30" ht="25.5" customHeight="1" s="172">
      <c r="A30" s="104" t="inlineStr">
        <is>
          <t>MySQL or SQLite</t>
        </is>
      </c>
      <c r="B30" s="104" t="inlineStr">
        <is>
          <t>Stores users/books/cart data</t>
        </is>
      </c>
      <c r="C30" s="104" t="inlineStr">
        <is>
          <t>Use MySQL Workbench if installed; SQLite is acceptable for quick proof</t>
        </is>
      </c>
      <c r="D30" s="104" t="inlineStr">
        <is>
          <t>Ali, Nathan, Phillip</t>
        </is>
      </c>
      <c r="E30" s="104" t="inlineStr">
        <is>
          <t>Screenshot database/tables</t>
        </is>
      </c>
    </row>
    <row r="31">
      <c r="A31" s="104" t="inlineStr">
        <is>
          <t>Postman or Browser</t>
        </is>
      </c>
      <c r="B31" s="104" t="inlineStr">
        <is>
          <t>Test API endpoints</t>
        </is>
      </c>
      <c r="C31" s="104" t="inlineStr">
        <is>
          <t>Install Postman or use browser for GET endpoints</t>
        </is>
      </c>
      <c r="D31" s="104" t="inlineStr">
        <is>
          <t>Ali, Nathan, Phillip</t>
        </is>
      </c>
      <c r="E31" s="104" t="inlineStr">
        <is>
          <t>API response screenshot</t>
        </is>
      </c>
    </row>
    <row r="33">
      <c r="A33" s="103" t="inlineStr">
        <is>
          <t>Quick Task Reference</t>
        </is>
      </c>
      <c r="B33" s="103" t="inlineStr">
        <is>
          <t>Owner</t>
        </is>
      </c>
      <c r="C33" s="103" t="inlineStr">
        <is>
          <t>What needs to be done</t>
        </is>
      </c>
      <c r="D33" s="103" t="inlineStr">
        <is>
          <t>How to complete</t>
        </is>
      </c>
      <c r="E33" s="103" t="inlineStr">
        <is>
          <t>What to submit</t>
        </is>
      </c>
    </row>
    <row r="34" ht="25.5" customHeight="1" s="172">
      <c r="A34" s="104" t="inlineStr">
        <is>
          <t>T1-001 User registration API endpoint</t>
        </is>
      </c>
      <c r="B34" s="104" t="inlineStr">
        <is>
          <t>Ali</t>
        </is>
      </c>
      <c r="C34" s="104" t="inlineStr">
        <is>
          <t>Create POST /api/auth/register that accepts email/password/name and saves user</t>
        </is>
      </c>
      <c r="D34" s="104" t="inlineStr">
        <is>
          <t>Use Express route; validate fields; hash password; insert user</t>
        </is>
      </c>
      <c r="E34" s="104" t="inlineStr">
        <is>
          <t>auth.js + register screenshot</t>
        </is>
      </c>
    </row>
    <row r="35" ht="25.5" customHeight="1" s="172">
      <c r="A35" s="104" t="inlineStr">
        <is>
          <t>T1-002 Login/authentication system</t>
        </is>
      </c>
      <c r="B35" s="104" t="inlineStr">
        <is>
          <t>Ali</t>
        </is>
      </c>
      <c r="C35" s="104" t="inlineStr">
        <is>
          <t>Create POST /api/auth/login</t>
        </is>
      </c>
      <c r="D35" s="104" t="inlineStr">
        <is>
          <t>Find user by email; compare bcrypt password; return JSON success/token</t>
        </is>
      </c>
      <c r="E35" s="104" t="inlineStr">
        <is>
          <t>auth.js + login screenshot</t>
        </is>
      </c>
    </row>
    <row r="36">
      <c r="A36" s="104" t="inlineStr">
        <is>
          <t>T1-005 Database schema setup</t>
        </is>
      </c>
      <c r="B36" s="104" t="inlineStr">
        <is>
          <t>Ali</t>
        </is>
      </c>
      <c r="C36" s="104" t="inlineStr">
        <is>
          <t>Create users and books database tables</t>
        </is>
      </c>
      <c r="D36" s="104" t="inlineStr">
        <is>
          <t>Run database_setup.sql below</t>
        </is>
      </c>
      <c r="E36" s="104" t="inlineStr">
        <is>
          <t>SQL file + table screenshot</t>
        </is>
      </c>
    </row>
    <row r="37" ht="25.5" customHeight="1" s="172">
      <c r="A37" s="104" t="inlineStr">
        <is>
          <t>T1-006 Password encryption + session management</t>
        </is>
      </c>
      <c r="B37" s="104" t="inlineStr">
        <is>
          <t>Ali</t>
        </is>
      </c>
      <c r="C37" s="104" t="inlineStr">
        <is>
          <t>Use bcrypt and JWT/session token</t>
        </is>
      </c>
      <c r="D37" s="104" t="inlineStr">
        <is>
          <t>Install bcrypt jsonwebtoken; hash on register; verify on login; return token</t>
        </is>
      </c>
      <c r="E37" s="104" t="inlineStr">
        <is>
          <t>Code + token screenshot</t>
        </is>
      </c>
    </row>
    <row r="38" ht="37.5" customHeight="1" s="172">
      <c r="A38" s="152" t="inlineStr">
        <is>
          <t>T1-004 Input validation for registration</t>
        </is>
      </c>
      <c r="B38" s="152" t="inlineStr">
        <is>
          <t>Kyonna Robinson - PRIORITY HELP NEEDED</t>
        </is>
      </c>
      <c r="C38" s="152" t="inlineStr">
        <is>
          <t>Validate email/password rules</t>
        </is>
      </c>
      <c r="D38" s="152" t="inlineStr">
        <is>
          <t>Beginner path: copy the provided frontend files, open index.html in a browser, confirm the form appears, test password validation, then screenshot the result. Ask Tracy/team for help if any file does not open.</t>
        </is>
      </c>
      <c r="E38" s="152" t="inlineStr">
        <is>
          <t>app.js + validation screenshot</t>
        </is>
      </c>
    </row>
    <row r="39" ht="37.5" customHeight="1" s="172">
      <c r="A39" s="152" t="inlineStr">
        <is>
          <t>T1-007 Login form frontend (HTML/CSS)</t>
        </is>
      </c>
      <c r="B39" s="152" t="inlineStr">
        <is>
          <t>Kyonna Robinson - PRIORITY HELP NEEDED</t>
        </is>
      </c>
      <c r="C39" s="152" t="inlineStr">
        <is>
          <t>Build login/register form page</t>
        </is>
      </c>
      <c r="D39" s="152" t="inlineStr">
        <is>
          <t>Beginner path: copy the provided frontend files, open index.html in a browser, confirm the form appears, test password validation, then screenshot the result. Ask Tracy/team for help if any file does not open.</t>
        </is>
      </c>
      <c r="E39" s="152" t="inlineStr">
        <is>
          <t>HTML/CSS + browser screenshot</t>
        </is>
      </c>
    </row>
    <row r="40" ht="37.5" customHeight="1" s="172">
      <c r="A40" s="152" t="inlineStr">
        <is>
          <t>T1-011 Error handling for auth system</t>
        </is>
      </c>
      <c r="B40" s="152" t="inlineStr">
        <is>
          <t>Kyonna Robinson - PRIORITY HELP NEEDED</t>
        </is>
      </c>
      <c r="C40" s="152" t="inlineStr">
        <is>
          <t>Show user-friendly errors</t>
        </is>
      </c>
      <c r="D40" s="152" t="inlineStr">
        <is>
          <t>Beginner path: copy the provided frontend files, open index.html in a browser, confirm the form appears, test password validation, then screenshot the result. Ask Tracy/team for help if any file does not open.</t>
        </is>
      </c>
      <c r="E40" s="152" t="inlineStr">
        <is>
          <t>JS + error screenshot</t>
        </is>
      </c>
    </row>
    <row r="41">
      <c r="A41" s="104" t="inlineStr">
        <is>
          <t>T1-009 Book database schema</t>
        </is>
      </c>
      <c r="B41" s="104" t="inlineStr">
        <is>
          <t>Nathan</t>
        </is>
      </c>
      <c r="C41" s="104" t="inlineStr">
        <is>
          <t>Create books table</t>
        </is>
      </c>
      <c r="D41" s="104" t="inlineStr">
        <is>
          <t>Run SQL below; add sample records</t>
        </is>
      </c>
      <c r="E41" s="104" t="inlineStr">
        <is>
          <t>SQL + books table screenshot</t>
        </is>
      </c>
    </row>
    <row r="42">
      <c r="A42" s="104" t="inlineStr">
        <is>
          <t>T1-012 Add/edit book functionality</t>
        </is>
      </c>
      <c r="B42" s="104" t="inlineStr">
        <is>
          <t>Nathan</t>
        </is>
      </c>
      <c r="C42" s="104" t="inlineStr">
        <is>
          <t>Build POST /api/books and PUT /api/books/:id</t>
        </is>
      </c>
      <c r="D42" s="104" t="inlineStr">
        <is>
          <t>Use Express route; validate fields; insert/update book</t>
        </is>
      </c>
      <c r="E42" s="104" t="inlineStr">
        <is>
          <t>books.js + API screenshots</t>
        </is>
      </c>
    </row>
    <row r="43">
      <c r="A43" s="104" t="inlineStr">
        <is>
          <t>T1-013 Book listing display</t>
        </is>
      </c>
      <c r="B43" s="104" t="inlineStr">
        <is>
          <t>Nathan</t>
        </is>
      </c>
      <c r="C43" s="104" t="inlineStr">
        <is>
          <t>Create GET /api/books and simple frontend list</t>
        </is>
      </c>
      <c r="D43" s="104" t="inlineStr">
        <is>
          <t>Fetch /api/books; render rows in HTML table</t>
        </is>
      </c>
      <c r="E43" s="104" t="inlineStr">
        <is>
          <t>HTML/JS + list screenshot</t>
        </is>
      </c>
    </row>
    <row r="44" ht="37.5" customHeight="1" s="172">
      <c r="A44" s="153" t="inlineStr">
        <is>
          <t>Phillip support tasks</t>
        </is>
      </c>
      <c r="B44" s="153" t="inlineStr">
        <is>
          <t>Phillip Williams - PRIORITY HELP NEEDED</t>
        </is>
      </c>
      <c r="C44" s="153" t="inlineStr">
        <is>
          <t>Take any Nathan task not already posted above, plus integration support</t>
        </is>
      </c>
      <c r="D44" s="153" t="inlineStr">
        <is>
          <t>Beginner path: copy the provided backend files, run npm install, start the server, then screenshot /api/health and any working search/cart/security endpoint. Partial API screenshots are acceptable.</t>
        </is>
      </c>
      <c r="E44" s="153" t="inlineStr">
        <is>
          <t>Files/screenshots + Discord update</t>
        </is>
      </c>
    </row>
    <row r="46">
      <c r="A46" s="178" t="inlineStr">
        <is>
          <t>Ready-to-submit: database_setup.sql</t>
        </is>
      </c>
    </row>
    <row r="47" ht="318" customHeight="1" s="172">
      <c r="A47" s="181" t="inlineStr">
        <is>
          <t>Code</t>
        </is>
      </c>
      <c r="B47" s="181" t="inlineStr">
        <is>
          <t>CREATE DATABASE IF NOT EXISTS acereads;
USE acereads;
CREATE TABLE IF NOT EXISTS users (
  id INT AUTO_INCREMENT PRIMARY KEY,
  email VARCHAR(255) UNIQUE NOT NULL,
  password VARCHAR(255) NOT NULL,
  first_name VARCHAR(100),
  last_name VARCHAR(100),
  created_at TIMESTAMP DEFAULT CURRENT_TIMESTAMP
);
CREATE TABLE IF NOT EXISTS books (
  id INT AUTO_INCREMENT PRIMARY KEY,
  isbn VARCHAR(30) UNIQUE,
  title VARCHAR(255) NOT NULL,
  author VARCHAR(255) NOT NULL,
  price DECIMAL(10,2) DEFAULT 0.00,
  quantity INT DEFAULT 0,
  category VARCHAR(100),
  created_at TIMESTAMP DEFAULT CURRENT_TIMESTAMP
);
INSERT INTO books (isbn,title,author,price,quantity,category) VALUES
('978000000001','Sample Book One','Demo Author',19.99,10,'Fiction'),
('978000000002','Sample Book Two','Demo Author',24.99,5,'Education');</t>
        </is>
      </c>
    </row>
    <row r="49">
      <c r="A49" s="178" t="inlineStr">
        <is>
          <t>Install/run commands</t>
        </is>
      </c>
    </row>
    <row r="50" ht="61.5" customHeight="1" s="172">
      <c r="A50" s="181" t="inlineStr">
        <is>
          <t>Commands</t>
        </is>
      </c>
      <c r="B50" s="181" t="inlineStr">
        <is>
          <t>npm init -y
npm install express mysql2 bcrypt jsonwebtoken cors dotenv
mkdir src
mkdir src/routes
node src/server.js</t>
        </is>
      </c>
    </row>
    <row r="52">
      <c r="A52" s="178" t="inlineStr">
        <is>
          <t>Ready-to-submit: src/server.js</t>
        </is>
      </c>
    </row>
    <row r="53" ht="171.75" customHeight="1" s="172">
      <c r="A53" s="181" t="inlineStr">
        <is>
          <t>Code</t>
        </is>
      </c>
      <c r="B53" s="181" t="inlineStr">
        <is>
          <t>const express = require('express');
const cors = require('cors');
const authRoutes = require('./routes/auth');
const bookRoutes = require('./routes/books');
const app = express();
app.use(cors());
app.use(express.json());
app.get('/api/health', (req, res) =&gt; res.json({ status: 'AceReads API is running' }));
app.use('/api/auth', authRoutes);
app.use('/api/books', bookRoutes);
app.listen(3000, () =&gt; console.log('AceReads server running on http://localhost:3000'));</t>
        </is>
      </c>
    </row>
    <row r="55">
      <c r="A55" s="178" t="inlineStr">
        <is>
          <t>Ready-to-submit: src/routes/auth.js</t>
        </is>
      </c>
    </row>
    <row r="56" ht="409.5" customHeight="1" s="172">
      <c r="A56" s="181" t="inlineStr">
        <is>
          <t>Code</t>
        </is>
      </c>
      <c r="B56" s="181" t="inlineStr">
        <is>
          <t>const express = require('express');
const bcrypt = require('bcrypt');
const jwt = require('jsonwebtoken');
const router = express.Router();
const users = []; // quick in-memory proof; replace with database when ready
function strongPassword(password) {
  return password &amp;&amp; password.length &gt;= 8 &amp;&amp; /[A-Z]/.test(password) &amp;&amp; /[0-9]/.test(password) &amp;&amp; /[^A-Za-z0-9]/.test(password);
}
router.post('/register', async (req, res) =&gt; {
  const { email, password, firstName, lastName } = req.body;
  if (!email || !password) return res.status(400).json({ error: 'Email and password are required' });
  if (!strongPassword(password)) return res.status(400).json({ error: 'Password must be 8+ chars with uppercase, number, and special character' });
  if (users.find(u =&gt; u.email === email)) return res.status(400).json({ error: 'Email already registered' });
  const hashedPassword = await bcrypt.hash(password, 10);
  const user = { id: users.length + 1, email, password: hashedPassword, firstName, lastName };
  users.push(user);
  res.status(201).json({ message: 'Registration successful', userId: user.id });
});
router.post('/login', async (req, res) =&gt; {
  const { email, password } = req.body;
  const user = users.find(u =&gt; u.email === email);
  if (!user) return res.status(401).json({ error: 'Invalid email or password' });
  const valid = await bcrypt.compare(password, user.password);
  if (!valid) return res.status(401).json({ error: 'Invalid email or password' });
  const token = jwt.sign({ userId: user.id, email: user.email }, 'dev-secret', { expiresIn: '30m' });
  res.json({ message: 'Login successful', token });
});
module.exports = router;</t>
        </is>
      </c>
    </row>
    <row r="58">
      <c r="A58" s="178" t="inlineStr">
        <is>
          <t>Ready-to-submit: src/routes/books.js</t>
        </is>
      </c>
    </row>
    <row r="59" ht="330" customHeight="1" s="172">
      <c r="A59" s="181" t="inlineStr">
        <is>
          <t>Code</t>
        </is>
      </c>
      <c r="B59" s="181" t="inlineStr">
        <is>
          <t>const express = require('express');
const router = express.Router();
let books = [
  { id: 1, isbn: '978000000001', title: 'Sample Book One', author: 'Demo Author', price: 19.99, quantity: 10, category: 'Fiction' }
];
router.get('/', (req, res) =&gt; res.json(books));
router.post('/', (req, res) =&gt; {
  const { isbn, title, author, price, quantity, category } = req.body;
  if (!title || !author) return res.status(400).json({ error: 'Title and author are required' });
  const book = { id: books.length + 1, isbn, title, author, price: Number(price || 0), quantity: Number(quantity || 0), category };
  books.push(book);
  res.status(201).json({ message: 'Book added', book });
});
router.put('/:id', (req, res) =&gt; {
  const book = books.find(b =&gt; b.id === Number(req.params.id));
  if (!book) return res.status(404).json({ error: 'Book not found' });
  Object.assign(book, req.body);
  res.json({ message: 'Book updated', book });
});
module.exports = router;</t>
        </is>
      </c>
    </row>
    <row r="61">
      <c r="A61" s="178" t="inlineStr">
        <is>
          <t>Ready-to-submit: frontend/index.html</t>
        </is>
      </c>
    </row>
    <row r="62" ht="232.5" customHeight="1" s="172">
      <c r="A62" s="181" t="inlineStr">
        <is>
          <t>Code</t>
        </is>
      </c>
      <c r="B62" s="181" t="inlineStr">
        <is>
          <t>&lt;!DOCTYPE html&gt;
&lt;html&gt;
&lt;head&gt;
  &lt;title&gt;AceReads Login and Books&lt;/title&gt;
  &lt;link rel="stylesheet" href="styles.css"&gt;
&lt;/head&gt;
&lt;body&gt;
  &lt;h1&gt;AceReads&lt;/h1&gt;
  &lt;section&gt;&lt;h2&gt;Register&lt;/h2&gt;&lt;input id="regEmail" placeholder="Email"&gt;&lt;input id="regPassword" type="password" placeholder="Password"&gt;&lt;button onclick="registerUser()"&gt;Register&lt;/button&gt;&lt;/section&gt;
  &lt;section&gt;&lt;h2&gt;Login&lt;/h2&gt;&lt;input id="loginEmail" placeholder="Email"&gt;&lt;input id="loginPassword" type="password" placeholder="Password"&gt;&lt;button onclick="loginUser()"&gt;Login&lt;/button&gt;&lt;/section&gt;
  &lt;p id="message"&gt;&lt;/p&gt;&lt;h2&gt;Books&lt;/h2&gt;&lt;button onclick="loadBooks()"&gt;Load Books&lt;/button&gt;&lt;table id="booksTable"&gt;&lt;/table&gt;
  &lt;script src="app.js"&gt;&lt;/script&gt;
&lt;/body&gt;
&lt;/html&gt;</t>
        </is>
      </c>
    </row>
    <row r="64">
      <c r="A64" s="178" t="inlineStr">
        <is>
          <t>Ready-to-submit: frontend/app.js</t>
        </is>
      </c>
    </row>
    <row r="65" ht="330" customHeight="1" s="172">
      <c r="A65" s="181" t="inlineStr">
        <is>
          <t>Code</t>
        </is>
      </c>
      <c r="B65" s="181" t="inlineStr">
        <is>
          <t>const API = 'http://localhost:3000/api';
const msg = document.getElementById('message');
function isStrongPassword(password) { return password.length &gt;= 8 &amp;&amp; /[A-Z]/.test(password) &amp;&amp; /[0-9]/.test(password) &amp;&amp; /[^A-Za-z0-9]/.test(password); }
async function registerUser() {
  const email = document.getElementById('regEmail').value;
  const password = document.getElementById('regPassword').value;
  if (!email.includes('@')) return msg.textContent = 'Enter a valid email.';
  if (!isStrongPassword(password)) return msg.textContent = 'Password needs 8+ chars, uppercase, number, and special character.';
  try { const res = await fetch(`${API}/auth/register`, { method: 'POST', headers: { 'Content-Type': 'application/json' }, body: JSON.stringify({ email, password }) }); const data = await res.json(); msg.textContent = data.message || data.error; }
  catch (err) { msg.textContent = 'Could not connect to server.'; }
}
async function loginUser() {
  try { const email = document.getElementById('loginEmail').value; const password = document.getElementById('loginPassword').value; const res = await fetch(`${API}/auth/login`, { method: 'POST', headers: { 'Content-Type': 'application/json' }, body: JSON.stringify({ email, password }) }); const data = await res.json(); msg.textContent = data.message || data.error; }
  catch (err) { msg.textContent = 'Login failed: server unavailable.'; }
}
async function loadBooks() { const res = await fetch(`${API}/books`); const books = await res.json(); document.getElementById('booksTable').innerHTML = '&lt;tr&gt;&lt;th&gt;Title&lt;/th&gt;&lt;th&gt;Author&lt;/th&gt;&lt;th&gt;Qty&lt;/th&gt;&lt;/tr&gt;' + books.map(b =&gt; `&lt;tr&gt;&lt;td&gt;${b.title}&lt;/td&gt;&lt;td&gt;${b.author}&lt;/td&gt;&lt;td&gt;${b.quantity}&lt;/td&gt;&lt;/tr&gt;`).join(''); }</t>
        </is>
      </c>
    </row>
    <row r="67">
      <c r="A67" s="178" t="inlineStr">
        <is>
          <t>Ready-to-submit: frontend/styles.css</t>
        </is>
      </c>
    </row>
    <row r="68" ht="135" customHeight="1" s="172">
      <c r="A68" s="181" t="inlineStr">
        <is>
          <t>Code</t>
        </is>
      </c>
      <c r="B68" s="181" t="inlineStr">
        <is>
          <t>body { font-family: Arial, sans-serif; max-width: 900px; margin: 30px auto; background: #f7f9fc; color: #222; }
section { background: white; padding: 16px; margin: 12px 0; border-radius: 8px; border: 1px solid #ddd; }
input, button { padding: 10px; margin: 6px; }
button { background: #1f4e79; color: white; border: 0; border-radius: 4px; cursor: pointer; }
table { width: 100%; border-collapse: collapse; background: white; }
th, td { border: 1px solid #ddd; padding: 8px; text-align: left; }
th { background: #1f4e79; color: white; }
#message { font-weight: bold; color: #b00020; }</t>
        </is>
      </c>
    </row>
    <row r="70">
      <c r="A70" s="178" t="inlineStr">
        <is>
          <t>Discord update template</t>
        </is>
      </c>
    </row>
    <row r="73">
      <c r="A73" s="178" t="n"/>
    </row>
    <row r="75" ht="12.75" customHeight="1" s="172">
      <c r="A75" s="182" t="inlineStr">
        <is>
          <t>UPDATED PHILLIP ASSIGNMENTS - EPIC-003, EPIC-010, EPIC-004</t>
        </is>
      </c>
    </row>
    <row r="76" ht="12.75" customHeight="1" s="172">
      <c r="A76" s="108" t="inlineStr">
        <is>
          <t>Epic</t>
        </is>
      </c>
      <c r="B76" s="108" t="inlineStr">
        <is>
          <t>Assigned to</t>
        </is>
      </c>
      <c r="C76" s="108" t="inlineStr">
        <is>
          <t>Tasks included</t>
        </is>
      </c>
      <c r="D76" s="108" t="inlineStr">
        <is>
          <t>Detailed instructions</t>
        </is>
      </c>
      <c r="E76" s="108" t="inlineStr">
        <is>
          <t>Submit proof</t>
        </is>
      </c>
    </row>
    <row r="77" ht="35.25" customHeight="1" s="172">
      <c r="A77" s="154" t="inlineStr">
        <is>
          <t>EPIC-003</t>
        </is>
      </c>
      <c r="B77" s="154" t="inlineStr">
        <is>
          <t>Phillip Williams - PRIORITY HELP NEEDED</t>
        </is>
      </c>
      <c r="C77" s="154" t="inlineStr">
        <is>
          <t>T1-008 backend search/filtering; T1-010 search functionality; T1-011 search results UI with filters</t>
        </is>
      </c>
      <c r="D77" s="154" t="inlineStr">
        <is>
          <t>Beginner path: copy the provided backend files, run npm install, start the server, then screenshot /api/health and any working search/cart/security endpoint. Partial API screenshots are acceptable.</t>
        </is>
      </c>
      <c r="E77" s="154" t="inlineStr">
        <is>
          <t>books.js update, frontend search screenshot, API response screenshot</t>
        </is>
      </c>
    </row>
    <row r="78" ht="35.25" customHeight="1" s="172">
      <c r="A78" s="154" t="inlineStr">
        <is>
          <t>EPIC-010</t>
        </is>
      </c>
      <c r="B78" s="154" t="inlineStr">
        <is>
          <t>Phillip Williams - PRIORITY HELP NEEDED</t>
        </is>
      </c>
      <c r="C78" s="154" t="inlineStr">
        <is>
          <t>T1-012 SSL/TLS security configuration; T1-013 role-based access control (RBAC)</t>
        </is>
      </c>
      <c r="D78" s="154" t="inlineStr">
        <is>
          <t>Beginner path: copy the provided backend files, run npm install, start the server, then screenshot /api/health and any working search/cart/security endpoint. Partial API screenshots are acceptable.</t>
        </is>
      </c>
      <c r="E78" s="154" t="inlineStr">
        <is>
          <t>middleware/auth.js, protected-route screenshot, short explanation of RBAC</t>
        </is>
      </c>
    </row>
    <row r="79" ht="35.25" customHeight="1" s="172">
      <c r="A79" s="154" t="inlineStr">
        <is>
          <t>EPIC-004</t>
        </is>
      </c>
      <c r="B79" s="154" t="inlineStr">
        <is>
          <t>Phillip Williams - PRIORITY HELP NEEDED</t>
        </is>
      </c>
      <c r="C79" s="154" t="inlineStr">
        <is>
          <t>T2-001 cart database schema; T2-002 cart API; T2-003 cart UI; T2-004 checkout flow/order summary</t>
        </is>
      </c>
      <c r="D79" s="154" t="inlineStr">
        <is>
          <t>Beginner path: copy the provided backend files, run npm install, start the server, then screenshot /api/health and any working search/cart/security endpoint. Partial API screenshots are acceptable.</t>
        </is>
      </c>
      <c r="E79" s="154" t="inlineStr">
        <is>
          <t>cart.js, frontend cart screenshot, Postman add/view cart screenshots</t>
        </is>
      </c>
    </row>
    <row r="80" ht="12.75" customHeight="1" s="172">
      <c r="A80" s="175" t="n"/>
      <c r="B80" s="175" t="n"/>
      <c r="C80" s="175" t="n"/>
      <c r="D80" s="175" t="n"/>
      <c r="E80" s="175" t="n"/>
    </row>
    <row r="81" ht="12.75" customHeight="1" s="172">
      <c r="A81" s="183" t="inlineStr">
        <is>
          <t>Ready-to-submit: src/middleware/auth.js</t>
        </is>
      </c>
    </row>
    <row r="82" ht="242.25" customHeight="1" s="172">
      <c r="A82" s="175" t="inlineStr">
        <is>
          <t>Code</t>
        </is>
      </c>
      <c r="B82" s="175" t="inlineStr">
        <is>
          <t>const jwt = require('jsonwebtoken');
function authenticate(req, res, next) {
  const header = req.headers.authorization || '';
  const token = header.replace('Bearer ', '');
  if (!token) return res.status(401).json({ error: 'Missing token' });
  try {
    req.user = jwt.verify(token, 'dev-secret');
    next();
  } catch (err) {
    res.status(401).json({ error: 'Invalid or expired token' });
  }
}
function requireAdmin(req, res, next) {
  if (req.user.role !== 'admin') return res.status(403).json({ error: 'Admin role required' });
  next();
}
module.exports = { authenticate, requireAdmin };</t>
        </is>
      </c>
      <c r="C82" s="175" t="n"/>
      <c r="D82" s="175" t="n"/>
      <c r="E82" s="175" t="n"/>
    </row>
    <row r="83" ht="12.75" customHeight="1" s="172">
      <c r="A83" s="175" t="n"/>
      <c r="B83" s="175" t="n"/>
      <c r="C83" s="175" t="n"/>
      <c r="D83" s="175" t="n"/>
      <c r="E83" s="175" t="n"/>
    </row>
    <row r="84" ht="12.75" customHeight="1" s="172">
      <c r="A84" s="182" t="inlineStr">
        <is>
          <t>Ready-to-submit: EPIC-003 search route for src/routes/books.js</t>
        </is>
      </c>
    </row>
    <row r="85" ht="138.75" customHeight="1" s="172">
      <c r="A85" s="175" t="inlineStr">
        <is>
          <t>Code</t>
        </is>
      </c>
      <c r="B85" s="175" t="inlineStr">
        <is>
          <t>router.get('/search', (req, res) =&gt; {
  const q = String(req.query.q || '').toLowerCase();
  const category = String(req.query.category || '').toLowerCase();
  const results = books.filter(b =&gt; {
    const matchesText = !q || b.title.toLowerCase().includes(q) || b.author.toLowerCase().includes(q) || String(b.isbn || '').includes(q);
    const matchesCategory = !category || String(b.category || '').toLowerCase() === category;
    return matchesText &amp;&amp; matchesCategory;
  });
  res.json(results);
});</t>
        </is>
      </c>
      <c r="C85" s="175" t="n"/>
      <c r="D85" s="175" t="n"/>
      <c r="E85" s="175" t="n"/>
    </row>
    <row r="86" ht="12.75" customHeight="1" s="172">
      <c r="A86" s="175" t="n"/>
      <c r="B86" s="175" t="n"/>
      <c r="C86" s="175" t="n"/>
      <c r="D86" s="175" t="n"/>
      <c r="E86" s="175" t="n"/>
    </row>
    <row r="87" ht="12.75" customHeight="1" s="172">
      <c r="A87" s="182" t="inlineStr">
        <is>
          <t>Ready-to-submit: src/routes/cart.js for EPIC-004</t>
        </is>
      </c>
    </row>
    <row r="88" ht="409.5" customHeight="1" s="172">
      <c r="A88" s="175" t="inlineStr">
        <is>
          <t>Code</t>
        </is>
      </c>
      <c r="B88" s="175" t="inlineStr">
        <is>
          <t>const express = require('express');
const router = express.Router();
let cart = [];
router.get('/:userId', (req, res) =&gt; {
  res.json(cart.filter(item =&gt; item.userId === Number(req.params.userId)));
});
router.post('/', (req, res) =&gt; {
  const { userId, bookId, title, price, quantity } = req.body;
  if (!userId || !bookId || !quantity) return res.status(400).json({ error: 'userId, bookId, and quantity are required' });
  const item = { id: cart.length + 1, userId: Number(userId), bookId: Number(bookId), title, price: Number(price || 0), quantity: Number(quantity) };
  cart.push(item);
  res.status(201).json({ message: 'Item added to cart', item });
});
router.put('/:id', (req, res) =&gt; {
  const item = cart.find(i =&gt; i.id === Number(req.params.id));
  if (!item) return res.status(404).json({ error: 'Cart item not found' });
  item.quantity = Number(req.body.quantity || item.quantity);
  res.json({ message: 'Cart updated', item });
});
router.delete('/:id', (req, res) =&gt; {
  cart = cart.filter(i =&gt; i.id !== Number(req.params.id));
  res.json({ message: 'Item removed from cart' });
});
router.get('/:userId/summary', (req, res) =&gt; {
  const items = cart.filter(item =&gt; item.userId === Number(req.params.userId));
  const subtotal = items.reduce((sum, item) =&gt; sum + item.price * item.quantity, 0);
  res.json({ items, subtotal, tax: +(subtotal * 0.08).toFixed(2), total: +(subtotal * 1.08).toFixed(2) });
});
module.exports = router;</t>
        </is>
      </c>
      <c r="C88" s="175" t="n"/>
      <c r="D88" s="175" t="n"/>
      <c r="E88" s="175" t="n"/>
    </row>
    <row r="89" ht="12.75" customHeight="1" s="172">
      <c r="A89" s="175" t="n"/>
      <c r="B89" s="175" t="n"/>
      <c r="C89" s="175" t="n"/>
      <c r="D89" s="175" t="n"/>
      <c r="E89" s="175" t="n"/>
    </row>
    <row r="90" ht="12.75" customHeight="1" s="172">
      <c r="A90" s="183" t="inlineStr">
        <is>
          <t>Discord update for Phillip</t>
        </is>
      </c>
    </row>
    <row r="91" ht="12.75" customHeight="1" s="172">
      <c r="A91" s="175" t="n"/>
      <c r="B91" s="175" t="n"/>
      <c r="C91" s="175" t="n"/>
      <c r="D91" s="175" t="n"/>
      <c r="E91" s="175" t="n"/>
    </row>
    <row r="92" ht="12.75" customHeight="1" s="172">
      <c r="A92" s="175" t="n"/>
      <c r="B92" s="175" t="n"/>
      <c r="C92" s="175" t="n"/>
      <c r="D92" s="175" t="n"/>
      <c r="E92" s="175" t="n"/>
    </row>
    <row r="93" ht="12.75" customHeight="1" s="172">
      <c r="A93" s="175" t="n"/>
      <c r="B93" s="175" t="n"/>
      <c r="C93" s="175" t="n"/>
      <c r="D93" s="175" t="n"/>
      <c r="E93" s="175" t="n"/>
    </row>
    <row r="94" ht="12.75" customHeight="1" s="172">
      <c r="A94" s="175" t="n"/>
      <c r="B94" s="175" t="n"/>
      <c r="C94" s="175" t="n"/>
      <c r="D94" s="175" t="n"/>
      <c r="E94" s="175" t="n"/>
    </row>
    <row r="95" ht="12.75" customHeight="1" s="172">
      <c r="A95" s="175" t="n"/>
      <c r="B95" s="175" t="n"/>
      <c r="C95" s="175" t="n"/>
      <c r="D95" s="175" t="n"/>
      <c r="E95" s="175" t="n"/>
    </row>
    <row r="96" ht="12.75" customHeight="1" s="172">
      <c r="A96" s="175" t="n"/>
      <c r="B96" s="175" t="n"/>
      <c r="C96" s="175" t="n"/>
      <c r="D96" s="175" t="n"/>
      <c r="E96" s="175" t="n"/>
    </row>
    <row r="97" ht="12.75" customHeight="1" s="172">
      <c r="A97" s="175" t="n"/>
      <c r="B97" s="175" t="n"/>
      <c r="C97" s="175" t="n"/>
      <c r="D97" s="175" t="n"/>
      <c r="E97" s="175" t="n"/>
    </row>
    <row r="98" ht="12.75" customHeight="1" s="172">
      <c r="A98" s="175" t="n"/>
      <c r="B98" s="175" t="n"/>
      <c r="C98" s="175" t="n"/>
      <c r="D98" s="175" t="n"/>
      <c r="E98" s="175" t="n"/>
    </row>
    <row r="99" ht="12.75" customHeight="1" s="172">
      <c r="A99" s="175" t="n"/>
      <c r="B99" s="175" t="n"/>
      <c r="C99" s="175" t="n"/>
      <c r="D99" s="175" t="n"/>
      <c r="E99" s="175" t="n"/>
    </row>
    <row r="100" ht="12.75" customHeight="1" s="172">
      <c r="A100" s="175" t="n"/>
      <c r="B100" s="175" t="n"/>
      <c r="C100" s="175" t="n"/>
      <c r="D100" s="175" t="n"/>
      <c r="E100" s="175" t="n"/>
    </row>
    <row r="101" ht="12.75" customHeight="1" s="172">
      <c r="A101" s="175" t="n"/>
      <c r="B101" s="175" t="n"/>
      <c r="C101" s="175" t="n"/>
      <c r="D101" s="175" t="n"/>
      <c r="E101" s="175" t="n"/>
    </row>
    <row r="102" ht="12.75" customHeight="1" s="172">
      <c r="A102" s="175" t="n"/>
      <c r="B102" s="175" t="n"/>
      <c r="C102" s="175" t="n"/>
      <c r="D102" s="175" t="n"/>
      <c r="E102" s="175" t="n"/>
    </row>
    <row r="103" ht="12.75" customHeight="1" s="172">
      <c r="A103" s="175" t="n"/>
      <c r="B103" s="175" t="n"/>
      <c r="C103" s="175" t="n"/>
      <c r="D103" s="175" t="n"/>
      <c r="E103" s="175" t="n"/>
    </row>
    <row r="104" ht="12.75" customHeight="1" s="172">
      <c r="A104" s="175" t="n"/>
      <c r="B104" s="175" t="n"/>
      <c r="C104" s="175" t="n"/>
      <c r="D104" s="175" t="n"/>
      <c r="E104" s="175" t="n"/>
    </row>
    <row r="105" ht="12.75" customHeight="1" s="172">
      <c r="A105" s="175" t="n"/>
      <c r="B105" s="175" t="n"/>
      <c r="C105" s="175" t="n"/>
      <c r="D105" s="175" t="n"/>
      <c r="E105" s="175" t="n"/>
    </row>
    <row r="106" ht="12.75" customHeight="1" s="172">
      <c r="A106" s="175" t="n"/>
      <c r="B106" s="175" t="n"/>
      <c r="C106" s="175" t="n"/>
      <c r="D106" s="175" t="n"/>
      <c r="E106" s="175" t="n"/>
    </row>
    <row r="107" ht="12.75" customHeight="1" s="172">
      <c r="A107" s="175" t="n"/>
      <c r="B107" s="175" t="n"/>
      <c r="C107" s="175" t="n"/>
      <c r="D107" s="175" t="n"/>
      <c r="E107" s="175" t="n"/>
    </row>
    <row r="108" ht="12.75" customHeight="1" s="172">
      <c r="A108" s="175" t="n"/>
      <c r="B108" s="175" t="n"/>
      <c r="C108" s="175" t="n"/>
      <c r="D108" s="175" t="n"/>
      <c r="E108" s="175" t="n"/>
    </row>
    <row r="109" ht="12.75" customHeight="1" s="172">
      <c r="A109" s="175" t="n"/>
      <c r="B109" s="175" t="n"/>
      <c r="C109" s="175" t="n"/>
      <c r="D109" s="175" t="n"/>
      <c r="E109" s="175" t="n"/>
    </row>
    <row r="110" ht="12.75" customHeight="1" s="172">
      <c r="A110" s="175" t="n"/>
      <c r="B110" s="175" t="n"/>
      <c r="C110" s="175" t="n"/>
      <c r="D110" s="175" t="n"/>
      <c r="E110" s="175" t="n"/>
    </row>
    <row r="111" ht="12.75" customHeight="1" s="172">
      <c r="A111" s="175" t="n"/>
      <c r="B111" s="175" t="n"/>
      <c r="C111" s="175" t="n"/>
      <c r="D111" s="175" t="n"/>
      <c r="E111" s="175" t="n"/>
    </row>
    <row r="112" ht="12.75" customHeight="1" s="172">
      <c r="A112" s="175" t="n"/>
      <c r="B112" s="175" t="n"/>
      <c r="C112" s="175" t="n"/>
      <c r="D112" s="175" t="n"/>
      <c r="E112" s="175" t="n"/>
    </row>
    <row r="113" ht="12.75" customHeight="1" s="172">
      <c r="A113" s="175" t="n"/>
      <c r="B113" s="175" t="n"/>
      <c r="C113" s="175" t="n"/>
      <c r="D113" s="175" t="n"/>
      <c r="E113" s="175" t="n"/>
    </row>
    <row r="114" ht="12.75" customHeight="1" s="172">
      <c r="A114" s="175" t="n"/>
      <c r="B114" s="175" t="n"/>
      <c r="C114" s="175" t="n"/>
      <c r="D114" s="175" t="n"/>
      <c r="E114" s="175" t="n"/>
    </row>
    <row r="115" ht="12.75" customHeight="1" s="172">
      <c r="A115" s="175" t="n"/>
      <c r="B115" s="175" t="n"/>
      <c r="C115" s="175" t="n"/>
      <c r="D115" s="175" t="n"/>
      <c r="E115" s="175" t="n"/>
    </row>
    <row r="116" ht="12.75" customHeight="1" s="172">
      <c r="A116" s="175" t="n"/>
      <c r="B116" s="175" t="n"/>
      <c r="C116" s="175" t="n"/>
      <c r="D116" s="175" t="n"/>
      <c r="E116" s="175" t="n"/>
    </row>
    <row r="117" ht="12.75" customHeight="1" s="172">
      <c r="A117" s="175" t="n"/>
      <c r="B117" s="175" t="n"/>
      <c r="C117" s="175" t="n"/>
      <c r="D117" s="175" t="n"/>
      <c r="E117" s="175" t="n"/>
    </row>
    <row r="118" ht="12.75" customHeight="1" s="172">
      <c r="A118" s="175" t="n"/>
      <c r="B118" s="175" t="n"/>
      <c r="C118" s="175" t="n"/>
      <c r="D118" s="175" t="n"/>
      <c r="E118" s="175" t="n"/>
    </row>
  </sheetData>
  <mergeCells count="23">
    <mergeCell ref="A73:E73"/>
    <mergeCell ref="A64:E64"/>
    <mergeCell ref="A49:E49"/>
    <mergeCell ref="A1:E1"/>
    <mergeCell ref="A61:E61"/>
    <mergeCell ref="A6:E6"/>
    <mergeCell ref="A70:E70"/>
    <mergeCell ref="A87:E87"/>
    <mergeCell ref="A90:E90"/>
    <mergeCell ref="A75:E75"/>
    <mergeCell ref="A84:E84"/>
    <mergeCell ref="A46:E46"/>
    <mergeCell ref="A18:E18"/>
    <mergeCell ref="A55:E55"/>
    <mergeCell ref="A2:E2"/>
    <mergeCell ref="A8:E8"/>
    <mergeCell ref="A14:E14"/>
    <mergeCell ref="A4:E4"/>
    <mergeCell ref="A81:E81"/>
    <mergeCell ref="A52:E52"/>
    <mergeCell ref="A58:E58"/>
    <mergeCell ref="A9:E9"/>
    <mergeCell ref="A67:E6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Olivier Gérardin</dc:creator>
  <dcterms:created xmlns:dcterms="http://purl.org/dc/terms/" xmlns:xsi="http://www.w3.org/2001/XMLSchema-instance" xsi:type="dcterms:W3CDTF">2009-04-30T08:53:36Z</dcterms:created>
  <dcterms:modified xmlns:dcterms="http://purl.org/dc/terms/" xmlns:xsi="http://www.w3.org/2001/XMLSchema-instance" xsi:type="dcterms:W3CDTF">2026-06-29T07:23:09Z</dcterms:modified>
  <cp:lastModifiedBy>Tracy Pillow</cp:lastModifiedBy>
  <cp:lastPrinted>2026-06-13T20:35:03Z</cp:lastPrinted>
</cp:coreProperties>
</file>