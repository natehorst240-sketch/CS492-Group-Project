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https://d.docs.live.net/8D9E1E6AAB8B1807/Documents/"/>
    </mc:Choice>
  </mc:AlternateContent>
  <xr:revisionPtr revIDLastSave="0" documentId="8_{8D472229-BD69-4E20-A0AF-E66B62A4A3ED}" xr6:coauthVersionLast="47" xr6:coauthVersionMax="47" xr10:uidLastSave="{00000000-0000-0000-0000-000000000000}"/>
  <bookViews>
    <workbookView xWindow="-120" yWindow="-120" windowWidth="20730" windowHeight="11040" firstSheet="3" activeTab="5" xr2:uid="{00000000-000D-0000-FFFF-FFFF00000000}"/>
  </bookViews>
  <sheets>
    <sheet name="Introduction" sheetId="1" r:id="rId1"/>
    <sheet name="Product backlog" sheetId="2" r:id="rId2"/>
    <sheet name="Sprint 1" sheetId="27" r:id="rId3"/>
    <sheet name="Sprint 2" sheetId="26" r:id="rId4"/>
    <sheet name="Emergency Guide" sheetId="28" r:id="rId5"/>
    <sheet name="Sprint 1 Retrospective" sheetId="30" r:id="rId6"/>
  </sheets>
  <definedNames>
    <definedName name="_xlnm._FilterDatabase" localSheetId="1" hidden="1">'Product backlog'!$A$10:$F$10</definedName>
    <definedName name="_xlnm._FilterDatabase" localSheetId="2" hidden="1">'Sprint 1'!$A$10:$E$10</definedName>
    <definedName name="_xlnm._FilterDatabase" localSheetId="3" hidden="1">'Sprint 2'!$A$10:$E$10</definedName>
    <definedName name="Z_988818D5_2AEF_4A9A_A55E_18240173EC63_.wvu.FilterData" localSheetId="1" hidden="1">'Product backlog'!$A$10:$F$10</definedName>
    <definedName name="Z_988818D5_2AEF_4A9A_A55E_18240173EC63_.wvu.FilterData" localSheetId="2" hidden="1">'Sprint 1'!$A$10:$E$10</definedName>
    <definedName name="Z_988818D5_2AEF_4A9A_A55E_18240173EC63_.wvu.FilterData" localSheetId="3" hidden="1">'Sprint 2'!$A$10:$E$10</definedName>
    <definedName name="Z_AF9CDD9E_3CB3_EE48_8887_F1090B6AE042_.wvu.FilterData" localSheetId="1" hidden="1">'Product backlog'!$A$10:$F$10</definedName>
    <definedName name="Z_AF9CDD9E_3CB3_EE48_8887_F1090B6AE042_.wvu.FilterData" localSheetId="2" hidden="1">'Sprint 1'!$A$10:$E$10</definedName>
    <definedName name="Z_AF9CDD9E_3CB3_EE48_8887_F1090B6AE042_.wvu.FilterData" localSheetId="3" hidden="1">'Sprint 2'!$A$10:$E$10</definedName>
    <definedName name="Z_F117AA09_D9DE_4D2E_A2DF_77AB3D7617C3_.wvu.FilterData" localSheetId="1" hidden="1">'Product backlog'!$A$10:$F$10</definedName>
    <definedName name="Z_F117AA09_D9DE_4D2E_A2DF_77AB3D7617C3_.wvu.FilterData" localSheetId="2" hidden="1">'Sprint 1'!$A$10:$E$10</definedName>
    <definedName name="Z_F117AA09_D9DE_4D2E_A2DF_77AB3D7617C3_.wvu.FilterData" localSheetId="3" hidden="1">'Sprint 2'!$A$10:$E$10</definedName>
  </definedNames>
  <calcPr calcId="191028"/>
  <customWorkbookViews>
    <customWorkbookView name="De La Cruz, Anthony - Personal View" guid="{F117AA09-D9DE-4D2E-A2DF-77AB3D7617C3}" mergeInterval="0" personalView="1" maximized="1" xWindow="-8" yWindow="-8" windowWidth="1936" windowHeight="1056" activeSheetId="3"/>
    <customWorkbookView name="Sam Burke - Personal View" guid="{AF9CDD9E-3CB3-EE48-8887-F1090B6AE042}" mergeInterval="0" personalView="1" yWindow="54" windowWidth="1440" windowHeight="741" activeSheetId="2"/>
    <customWorkbookView name="Anders Pedersen - Personal View" guid="{988818D5-2AEF-4A9A-A55E-18240173EC63}" mergeInterval="0" personalView="1" maximized="1" xWindow="-8" yWindow="-8" windowWidth="1382" windowHeight="744"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5" i="30" l="1"/>
  <c r="B44" i="30"/>
  <c r="B43" i="30"/>
  <c r="B42" i="30"/>
  <c r="B41" i="30"/>
  <c r="B37" i="30"/>
  <c r="B36" i="30"/>
  <c r="B35" i="30"/>
  <c r="B34" i="30"/>
  <c r="B33" i="30"/>
  <c r="B32" i="30"/>
  <c r="F22" i="26"/>
  <c r="E21" i="26"/>
  <c r="S21" i="26"/>
  <c r="R21" i="26"/>
  <c r="Q21" i="26"/>
  <c r="P21" i="26"/>
  <c r="O21" i="26"/>
  <c r="N21" i="26"/>
  <c r="M21" i="26"/>
  <c r="L21" i="26"/>
  <c r="K21" i="26"/>
  <c r="J21" i="26"/>
  <c r="I21" i="26"/>
  <c r="H21" i="26"/>
  <c r="G21" i="26"/>
  <c r="F21" i="26"/>
  <c r="F26" i="27"/>
  <c r="S25" i="27"/>
  <c r="R25" i="27"/>
  <c r="Q25" i="27"/>
  <c r="P25" i="27"/>
  <c r="O25" i="27"/>
  <c r="N25" i="27"/>
  <c r="M25" i="27"/>
  <c r="L25" i="27"/>
  <c r="K25" i="27"/>
  <c r="J25" i="27"/>
  <c r="I25" i="27"/>
  <c r="H25" i="27"/>
  <c r="G25" i="27"/>
  <c r="F25" i="27"/>
  <c r="F10" i="27"/>
  <c r="G10" i="27" s="1"/>
  <c r="H10" i="27" s="1"/>
  <c r="I10" i="27" s="1"/>
  <c r="J10" i="27" s="1"/>
  <c r="K10" i="27" s="1"/>
  <c r="L10" i="27" s="1"/>
  <c r="M10" i="27" s="1"/>
  <c r="N10" i="27" s="1"/>
  <c r="O10" i="27" s="1"/>
  <c r="P10" i="27" s="1"/>
  <c r="Q10" i="27" s="1"/>
  <c r="R10" i="27" s="1"/>
  <c r="S10" i="27" s="1"/>
  <c r="A2" i="27"/>
  <c r="S27" i="26"/>
  <c r="L27" i="26"/>
  <c r="F10" i="26"/>
  <c r="G10" i="26" s="1"/>
  <c r="H10" i="26" s="1"/>
  <c r="I10" i="26" s="1"/>
  <c r="J10" i="26" s="1"/>
  <c r="K10" i="26" s="1"/>
  <c r="L10" i="26" s="1"/>
  <c r="M10" i="26" s="1"/>
  <c r="N10" i="26" s="1"/>
  <c r="O10" i="26" s="1"/>
  <c r="P10" i="26" s="1"/>
  <c r="Q10" i="26" s="1"/>
  <c r="R10" i="26" s="1"/>
  <c r="S10" i="26" s="1"/>
  <c r="A2" i="26"/>
  <c r="G22" i="26" l="1"/>
  <c r="H22" i="26" s="1"/>
  <c r="I22" i="26" s="1"/>
  <c r="J22" i="26" s="1"/>
  <c r="K22" i="26" s="1"/>
  <c r="L22" i="26" s="1"/>
  <c r="M22" i="26" s="1"/>
  <c r="N22" i="26" s="1"/>
  <c r="O22" i="26" s="1"/>
  <c r="P22" i="26" s="1"/>
  <c r="Q22" i="26" s="1"/>
  <c r="R22" i="26" s="1"/>
  <c r="S22" i="26" s="1"/>
  <c r="G26" i="27"/>
  <c r="H26" i="27" s="1"/>
  <c r="I26" i="27" s="1"/>
  <c r="J26" i="27" s="1"/>
  <c r="K26" i="27" s="1"/>
  <c r="L26" i="27" s="1"/>
  <c r="M26" i="27" s="1"/>
  <c r="N26" i="27" s="1"/>
  <c r="O26" i="27" s="1"/>
  <c r="P26" i="27" s="1"/>
  <c r="Q26" i="27" s="1"/>
  <c r="R26" i="27" s="1"/>
  <c r="S26" i="27" s="1"/>
</calcChain>
</file>

<file path=xl/sharedStrings.xml><?xml version="1.0" encoding="utf-8"?>
<sst xmlns="http://schemas.openxmlformats.org/spreadsheetml/2006/main" count="653" uniqueCount="491">
  <si>
    <t>Project Name</t>
  </si>
  <si>
    <t>What is this?</t>
  </si>
  <si>
    <t>This workbook is meant to help manage and piroritize the user stories and features using scrum.</t>
  </si>
  <si>
    <t>How to use and read this document?</t>
  </si>
  <si>
    <r>
      <t>Before project start:</t>
    </r>
    <r>
      <rPr>
        <sz val="10"/>
        <rFont val="Calibri"/>
        <family val="2"/>
      </rPr>
      <t xml:space="preserve"> The product owner is responsible for managing and maintaining the product backlog of user stories. </t>
    </r>
  </si>
  <si>
    <r>
      <t>Before each sprint:</t>
    </r>
    <r>
      <rPr>
        <sz val="10"/>
        <rFont val="Calibri"/>
        <family val="2"/>
      </rPr>
      <t xml:space="preserve"> The vendor will break down the user stories into tasks.</t>
    </r>
  </si>
  <si>
    <t>Notes</t>
  </si>
  <si>
    <t>Cells that you can edit have a blue background.</t>
  </si>
  <si>
    <t>Sprints are assumed to be 2 weeks long (10 working days)/</t>
  </si>
  <si>
    <t>Licence</t>
  </si>
  <si>
    <t>This work is licensed under a Creative Commons Attribution-Share Alike 3.0 Unported License.</t>
  </si>
  <si>
    <t>Origins</t>
  </si>
  <si>
    <t>This work is inspired by the Scrum Template published by Nicolas Martignole on his "Touilleur Express" blog. Adapted by Olivier Gérardin.</t>
  </si>
  <si>
    <t>AceReads - Bookstore Management System</t>
  </si>
  <si>
    <t>Organizations</t>
  </si>
  <si>
    <t>Ana's Anomalous Anthologies</t>
  </si>
  <si>
    <t>Project</t>
  </si>
  <si>
    <t>AceReads</t>
  </si>
  <si>
    <t>Product Owner</t>
  </si>
  <si>
    <t>Juana Rodriguez</t>
  </si>
  <si>
    <t>Scrum Master</t>
  </si>
  <si>
    <t>Tracy Pillow</t>
  </si>
  <si>
    <t>Development Team</t>
  </si>
  <si>
    <t>Ali Osman, Kyonna Robinson, Juana Rodriguez, Nathan Horstmeier, Phillip Williams</t>
  </si>
  <si>
    <t xml:space="preserve"> Story ID</t>
  </si>
  <si>
    <t>Title</t>
  </si>
  <si>
    <t>Description</t>
  </si>
  <si>
    <t>s</t>
  </si>
  <si>
    <t>Priority #</t>
  </si>
  <si>
    <t>Sprint #</t>
  </si>
  <si>
    <t>Responsibility</t>
  </si>
  <si>
    <t>EPIC-001</t>
  </si>
  <si>
    <t>User Registration &amp; Authentication</t>
  </si>
  <si>
    <t>As a user, I want to register and securely log into the system so that I can access personalized features and my account information is protected.</t>
  </si>
  <si>
    <t>1. Users can register with email, password (min 8 chars, 1 uppercase, 1 number, 1 special char)
2. Email verification is required before account activation
3. Password is encrypted using industry-standard hashing (bcrypt)
4. Users can log in with valid credentials
5. Failed login attempts are limited (max 5) with account lockout
6. Password reset functionality via secure email link
7. Session timeout after 30 minutes of inactivity</t>
  </si>
  <si>
    <t>EPIC-002</t>
  </si>
  <si>
    <t>Book Inventory Management</t>
  </si>
  <si>
    <t>As a store manager, I want to manage the book inventory so that I can add, update, and track all books in the system with accurate stock levels.</t>
  </si>
  <si>
    <t>1. Admin can add new books with ISBN, title, author, price, quantity, category, publisher, publication date
2. Admin can update existing book information
3. Admin can delete books (soft delete to maintain history)
4. System displays real-time stock levels
5. Low stock alerts triggered when quantity falls below threshold
6. Bulk import of books via CSV/Excel file
7. Book images can be uploaded and displayed
8. Search and filter books by multiple criteria</t>
  </si>
  <si>
    <t>EPIC-003</t>
  </si>
  <si>
    <t>Book Search &amp; Catalog Browsing</t>
  </si>
  <si>
    <t>As a customer, I want to search and browse books so that I can easily find books I'm interested in purchasing.</t>
  </si>
  <si>
    <t>1. Search by title, author, ISBN, or keyword
2. Filter results by category, price range, availability, rating
3. Sort results by relevance, price, date, popularity
4. Display book details including description, reviews, ratings
5. Search results load within 2 seconds
6. Auto-suggest/autocomplete functionality
7. Browse by categories and subcategories
8. Recently viewed books history</t>
  </si>
  <si>
    <t>EPIC-004</t>
  </si>
  <si>
    <t>Shopping Cart &amp; Checkout Process</t>
  </si>
  <si>
    <t>As a customer, I want to add books to a shopping cart and complete purchases so that I can buy multiple books in a single transaction.</t>
  </si>
  <si>
    <t>1. Add/remove books from cart
2. Update quantities in cart
3. Cart persists across sessions for logged-in users
4. Display itemized cart with subtotal, taxes, shipping
5. Apply discount codes/coupons
6. Multiple shipping address options
7. Order summary before final confirmation
8. Email confirmation sent upon successful order
9. Cart abandonment recovery emails</t>
  </si>
  <si>
    <t>EPIC-005</t>
  </si>
  <si>
    <t>Secure Payment Processing</t>
  </si>
  <si>
    <t>As a customer, I want to make secure payments so that my financial information is protected and I can complete transactions safely.</t>
  </si>
  <si>
    <t>1. Integration with PCI-DSS compliant payment gateway
2. Support multiple payment methods (credit/debit cards, PayPal, digital wallets)
3. Card details are never stored on local servers
4. SSL/TLS encryption for all payment transactions
5. Payment confirmation and receipt generation
6. Refund processing capability
7. Transaction logging for audit purposes
8. Fraud detection mechanisms in place</t>
  </si>
  <si>
    <t>EPIC-006</t>
  </si>
  <si>
    <t>Order Management System</t>
  </si>
  <si>
    <t>As a store manager, I want to manage customer orders so that I can track order status, process shipments, and handle returns efficiently.</t>
  </si>
  <si>
    <t>1. View all orders with filtering by status, date, customer
2. Update order status (pending, processing, shipped, delivered, cancelled)
3. Generate shipping labels and tracking numbers
4. Send automated status update notifications to customers
5. Process returns and refunds
6. Order history maintained for minimum 7 years
7. Generate order reports and analytics
8. Handle partial shipments</t>
  </si>
  <si>
    <t>EPIC-007</t>
  </si>
  <si>
    <t>Customer Account Management</t>
  </si>
  <si>
    <t>As a customer, I want to manage my account profile so that I can update my information, view order history, and manage preferences.</t>
  </si>
  <si>
    <t>1. View and edit personal information
2. Manage multiple shipping/billing addresses
3. View complete order history
4. Track current orders in real-time
5. Manage wishlist/favorites
6. Set communication preferences
7. View and manage saved payment methods (tokenized)
8. Download invoices/receipts
9. Account deletion option (GDPR compliance)</t>
  </si>
  <si>
    <t>EPIC-008</t>
  </si>
  <si>
    <t>Book Reviews &amp; Ratings System</t>
  </si>
  <si>
    <t>As a customer, I want to read and write book reviews so that I can make informed purchasing decisions and share my opinions with other readers.</t>
  </si>
  <si>
    <t>1. Submit star ratings (1-5) for purchased books
2. Write text reviews with character limit
3. Edit or delete own reviews
4. View average ratings and total review count
5. Sort reviews by date, rating, helpfulness
6. Mark reviews as helpful
7. Admin moderation of inappropriate content
8. Verified purchase badge on reviews</t>
  </si>
  <si>
    <t>EPIC-009</t>
  </si>
  <si>
    <t>Reporting &amp; Business Analytics</t>
  </si>
  <si>
    <t>As a store manager, I want to access reports and analytics so that I can make data-driven business decisions and monitor store performance.</t>
  </si>
  <si>
    <t>1. Sales reports by period, category, author
2. Inventory reports with stock levels and turnover
3. Customer analytics (demographics, behavior)
4. Revenue and profit margin reports
5. Best-selling books reports
6. Export reports to PDF, Excel, CSV
7. Dashboard with key performance indicators
8. Customizable date ranges for all reports
9. Scheduled automated report generation</t>
  </si>
  <si>
    <t>EPIC-010</t>
  </si>
  <si>
    <t>Security &amp; Data Protection</t>
  </si>
  <si>
    <t>As a system administrator, I want to ensure comprehensive security measures so that customer data is protected and the system is secure from threats.</t>
  </si>
  <si>
    <t>1. Role-based access control (RBAC) implemented
2. All sensitive data encrypted at rest and in transit
3. Regular automated security vulnerability scanning
4. Audit logs for all administrative actions
5. IP-based access restrictions for admin panel
6. Two-factor authentication (2FA) for admin accounts
7. Regular automated backups with encryption
8. GDPR and data privacy compliance
9. SQL injection and XSS prevention measures
10. Rate limiting to prevent DDoS attacks</t>
  </si>
  <si>
    <t>EPIC-011</t>
  </si>
  <si>
    <t>Notifications &amp; Communication System</t>
  </si>
  <si>
    <t>As a customer, I want to receive relevant notifications so that I stay informed about my orders, promotions, and new arrivals.</t>
  </si>
  <si>
    <t>1. Email notifications for order confirmations, shipping, delivery
2. Promotional email campaigns with opt-in/opt-out
3. New arrival notifications for favorite categories/authors
4. Back-in-stock notifications
5. Price drop alerts for wishlist items
6. SMS notifications option for order updates
7. In-app notification center
8. Unsubscribe option in all communications</t>
  </si>
  <si>
    <t>EPIC-012</t>
  </si>
  <si>
    <t>Administrative Dashboard</t>
  </si>
  <si>
    <t>As an administrator, I want a centralized dashboard so that I can efficiently manage all aspects of the bookstore operations.</t>
  </si>
  <si>
    <t>1. Overview of daily/weekly/monthly sales
2. Pending orders requiring attention
3. Low stock alerts prominently displayed
4. Recent customer activity feed
5. Quick access to all management modules
6. System health and performance metrics
7. User management capabilities
8. Content management for banners/promotions
9. Responsive design for mobile access</t>
  </si>
  <si>
    <t>EPIC-013</t>
  </si>
  <si>
    <t>Supplier &amp; Procurement Management</t>
  </si>
  <si>
    <t>As a store manager, I want to manage book suppliers so that I can efficiently restock inventory and maintain supplier relationships.</t>
  </si>
  <si>
    <t>1. Add/edit/remove supplier profiles
2. Track supplier contact information and terms
3. Create and manage purchase orders
4. Track order status from suppliers
5. Automated reorder suggestions based on stock levels
6. Supplier performance tracking
7. Invoice management and payment tracking
8. Historical purchase data for negotiation</t>
  </si>
  <si>
    <t>EPIC-014</t>
  </si>
  <si>
    <t>Customer Loyalty &amp; Rewards Program</t>
  </si>
  <si>
    <t>As a customer, I want to participate in a loyalty program so that I can earn rewards and receive benefits for my continued patronage.</t>
  </si>
  <si>
    <t>1. Points earned based on purchase amount
2. Multiple reward tiers (Bronze, Silver, Gold, Platinum)
3. Points redemption for discounts
4. Exclusive member-only promotions
5. Birthday rewards
6. Referral bonus program
7. Points balance and history visible in account
8. Points expiration policy with notifications</t>
  </si>
  <si>
    <t>EPIC-015</t>
  </si>
  <si>
    <t>Mobile-Responsive Design</t>
  </si>
  <si>
    <t>As a customer, I want to access the bookstore from any device so that I can browse and purchase books conveniently from my smartphone or tablet.</t>
  </si>
  <si>
    <t>1. Fully responsive design across all screen sizes
2. Touch-friendly navigation and buttons
3. Optimized images for mobile bandwidth
4. Mobile-specific features (tap to call, maps integration)
5. Fast loading times on mobile networks (&lt;3 seconds)
6. Consistent experience across iOS and Android browsers
7. Mobile checkout optimization
8. Progressive Web App (PWA) capabilities</t>
  </si>
  <si>
    <t>Start date</t>
  </si>
  <si>
    <t>Total Team Members</t>
  </si>
  <si>
    <t>week 1</t>
  </si>
  <si>
    <t>week 2</t>
  </si>
  <si>
    <t>Task ID</t>
  </si>
  <si>
    <t>Story ID</t>
  </si>
  <si>
    <t>Initial estimate</t>
  </si>
  <si>
    <t>T1-001</t>
  </si>
  <si>
    <t>Design &amp; implement user registration (DB, API, UI)</t>
  </si>
  <si>
    <t>Ali Osman</t>
  </si>
  <si>
    <t>T1-002</t>
  </si>
  <si>
    <t>Implement password encryption &amp; validation</t>
  </si>
  <si>
    <t>T1-003</t>
  </si>
  <si>
    <t>Create login system with session management</t>
  </si>
  <si>
    <t>T1-004</t>
  </si>
  <si>
    <t>Build login/registration UI with error handling</t>
  </si>
  <si>
    <t>Kyonna Robinson</t>
  </si>
  <si>
    <t>T1-005</t>
  </si>
  <si>
    <t>Design book inventory database schema</t>
  </si>
  <si>
    <t>T1-006</t>
  </si>
  <si>
    <t>Create CRUD APIs for book management</t>
  </si>
  <si>
    <t>T1-007</t>
  </si>
  <si>
    <t>Build admin book management interface</t>
  </si>
  <si>
    <t>T1-008</t>
  </si>
  <si>
    <t>Implement book search &amp; filtering backend</t>
  </si>
  <si>
    <t>T1-009</t>
  </si>
  <si>
    <t>Configure security (SSL, RBAC, input validation)</t>
  </si>
  <si>
    <t>Nathan Horstmeier</t>
  </si>
  <si>
    <t>T1-010</t>
  </si>
  <si>
    <t>Implement book search functionality</t>
  </si>
  <si>
    <t>T1-011</t>
  </si>
  <si>
    <t>Build search results UI with filters</t>
  </si>
  <si>
    <t>T1-012</t>
  </si>
  <si>
    <t>Implement SSL/TLS security configuration</t>
  </si>
  <si>
    <t>T1-013</t>
  </si>
  <si>
    <t>Set up role-based access control (RBAC)</t>
  </si>
  <si>
    <t>Remaining units (actual)</t>
  </si>
  <si>
    <t>Remaining units (ideal)</t>
  </si>
  <si>
    <t>T2-001</t>
  </si>
  <si>
    <t>Design shopping cart database schema</t>
  </si>
  <si>
    <t>T2-002</t>
  </si>
  <si>
    <t>Create shopping cart API (add/remove/update)</t>
  </si>
  <si>
    <t>Phillip Williams</t>
  </si>
  <si>
    <t>T2-003</t>
  </si>
  <si>
    <t>Build shopping cart UI component</t>
  </si>
  <si>
    <t>T2-004</t>
  </si>
  <si>
    <t>Implement checkout flow &amp; order summary</t>
  </si>
  <si>
    <t>T2-005</t>
  </si>
  <si>
    <t>Integrate payment gateway (Stripe/PayPal)</t>
  </si>
  <si>
    <t>T2-006</t>
  </si>
  <si>
    <t>Build secure payment UI with validation</t>
  </si>
  <si>
    <t>T2-007</t>
  </si>
  <si>
    <t>Implement payment confirmation &amp; receipts</t>
  </si>
  <si>
    <t>T2-008</t>
  </si>
  <si>
    <t>Create order management system backend</t>
  </si>
  <si>
    <t>T2-009</t>
  </si>
  <si>
    <t>Build order tracking UI for customers</t>
  </si>
  <si>
    <t>ACEREADS EMERGENCY SURVIVAL GUIDE - Complete These Tasks Yourself</t>
  </si>
  <si>
    <t>TODAY: Wednesday June 17, 2026 | Sprint 1 Day 10 of 14 | Sprint 2 Day 3 of 14</t>
  </si>
  <si>
    <t>TOTAL TIME NEEDED: 3-4 hours following this guide exactly</t>
  </si>
  <si>
    <t>STEP 0: INSTALL THESE FIRST (One-time setup - 30 minutes)</t>
  </si>
  <si>
    <t>#</t>
  </si>
  <si>
    <t>What to Install</t>
  </si>
  <si>
    <t>Why You Need It</t>
  </si>
  <si>
    <t>How to Get It</t>
  </si>
  <si>
    <t>Time</t>
  </si>
  <si>
    <t>Node.js</t>
  </si>
  <si>
    <t>Runs JavaScript code</t>
  </si>
  <si>
    <t>Download from nodejs.org - click 'LTS' button, run installer, click Next until done</t>
  </si>
  <si>
    <t>5 min</t>
  </si>
  <si>
    <t>VS Code</t>
  </si>
  <si>
    <t>Write and edit code</t>
  </si>
  <si>
    <t>Download from code.visualstudio.com - run installer</t>
  </si>
  <si>
    <t>Git</t>
  </si>
  <si>
    <t>Track code changes</t>
  </si>
  <si>
    <t>Download from git-scm.com - run installer, keep defaults</t>
  </si>
  <si>
    <t>MySQL</t>
  </si>
  <si>
    <t>Database for storing data</t>
  </si>
  <si>
    <t>Download MySQL Community Server from mysql.com/downloads - remember your password!</t>
  </si>
  <si>
    <t>10 min</t>
  </si>
  <si>
    <t>Postman</t>
  </si>
  <si>
    <t>Test your APIs</t>
  </si>
  <si>
    <t>Download from postman.com - free account</t>
  </si>
  <si>
    <t>STEP 1: CREATE YOUR PROJECT FOLDER (15 minutes)</t>
  </si>
  <si>
    <t>Open VS Code, then open Terminal (View &gt; Terminal). Type these commands one at a time, press Enter after each:</t>
  </si>
  <si>
    <t>COMMAND</t>
  </si>
  <si>
    <t>WHAT IT DOES</t>
  </si>
  <si>
    <t>mkdir acereads</t>
  </si>
  <si>
    <t>Creates a folder called 'acereads'</t>
  </si>
  <si>
    <t>cd acereads</t>
  </si>
  <si>
    <t>Goes into that folder</t>
  </si>
  <si>
    <t>npm init -y</t>
  </si>
  <si>
    <t>Creates package.json (project settings file)</t>
  </si>
  <si>
    <t>npm install express mysql2 bcrypt jsonwebtoken cors dotenv</t>
  </si>
  <si>
    <t>Installs the tools you need</t>
  </si>
  <si>
    <t>mkdir src</t>
  </si>
  <si>
    <t>Creates src folder for your code</t>
  </si>
  <si>
    <t>mkdir src/routes src/models src/middleware src/controllers</t>
  </si>
  <si>
    <t>Creates subfolders to organize code</t>
  </si>
  <si>
    <t>touch src/app.js (Mac) OR type nul &gt; src\app.js (Windows)</t>
  </si>
  <si>
    <t>Creates your main app file</t>
  </si>
  <si>
    <t>STEP 2: CREATE YOUR DATABASE (20 minutes) - THIS COMPLETES T1-001, T1-005, T2-001</t>
  </si>
  <si>
    <t>Open MySQL Workbench (installed with MySQL). Click the Local instance to connect. Then copy/paste this entire block:</t>
  </si>
  <si>
    <t>-- COPY EVERYTHING BELOW THIS LINE --</t>
  </si>
  <si>
    <t>CREATE DATABASE IF NOT EXISTS acereads;</t>
  </si>
  <si>
    <t>USE acereads;</t>
  </si>
  <si>
    <t>-- Users table (for login/registration)</t>
  </si>
  <si>
    <t>CREATE TABLE users (</t>
  </si>
  <si>
    <t xml:space="preserve">  id INT AUTO_INCREMENT PRIMARY KEY,</t>
  </si>
  <si>
    <t xml:space="preserve">  email VARCHAR(255) UNIQUE NOT NULL,</t>
  </si>
  <si>
    <t xml:space="preserve">  password VARCHAR(255) NOT NULL,</t>
  </si>
  <si>
    <t xml:space="preserve">  first_name VARCHAR(100),</t>
  </si>
  <si>
    <t xml:space="preserve">  last_name VARCHAR(100),</t>
  </si>
  <si>
    <t xml:space="preserve">  email_verified BOOLEAN DEFAULT FALSE,</t>
  </si>
  <si>
    <t xml:space="preserve">  failed_login_attempts INT DEFAULT 0,</t>
  </si>
  <si>
    <t xml:space="preserve">  account_locked BOOLEAN DEFAULT FALSE,</t>
  </si>
  <si>
    <t xml:space="preserve">  created_at TIMESTAMP DEFAULT CURRENT_TIMESTAMP,</t>
  </si>
  <si>
    <t xml:space="preserve">  updated_at TIMESTAMP DEFAULT CURRENT_TIMESTAMP ON UPDATE CURRENT_TIMESTAMP</t>
  </si>
  <si>
    <t>);</t>
  </si>
  <si>
    <t>-- Books table (for inventory)</t>
  </si>
  <si>
    <t>CREATE TABLE books (</t>
  </si>
  <si>
    <t xml:space="preserve">  isbn VARCHAR(20) UNIQUE,</t>
  </si>
  <si>
    <t xml:space="preserve">  title VARCHAR(255) NOT NULL,</t>
  </si>
  <si>
    <t xml:space="preserve">  author VARCHAR(255),</t>
  </si>
  <si>
    <t xml:space="preserve">  price DECIMAL(10,2) NOT NULL,</t>
  </si>
  <si>
    <t xml:space="preserve">  quantity INT DEFAULT 0,</t>
  </si>
  <si>
    <t xml:space="preserve">  category VARCHAR(100),</t>
  </si>
  <si>
    <t xml:space="preserve">  publisher VARCHAR(255),</t>
  </si>
  <si>
    <t xml:space="preserve">  publication_date DATE,</t>
  </si>
  <si>
    <t xml:space="preserve">  description TEXT,</t>
  </si>
  <si>
    <t xml:space="preserve">  image_url VARCHAR(500),</t>
  </si>
  <si>
    <t xml:space="preserve">  is_deleted BOOLEAN DEFAULT FALSE,</t>
  </si>
  <si>
    <t xml:space="preserve">  created_at TIMESTAMP DEFAULT CURRENT_TIMESTAMP</t>
  </si>
  <si>
    <t>-- Shopping cart table</t>
  </si>
  <si>
    <t>CREATE TABLE cart_items (</t>
  </si>
  <si>
    <t xml:space="preserve">  user_id INT NOT NULL,</t>
  </si>
  <si>
    <t xml:space="preserve">  book_id INT NOT NULL,</t>
  </si>
  <si>
    <t xml:space="preserve">  quantity INT DEFAULT 1,</t>
  </si>
  <si>
    <t xml:space="preserve">  FOREIGN KEY (user_id) REFERENCES users(id),</t>
  </si>
  <si>
    <t xml:space="preserve">  FOREIGN KEY (book_id) REFERENCES books(id)</t>
  </si>
  <si>
    <t>-- Orders table</t>
  </si>
  <si>
    <t>CREATE TABLE orders (</t>
  </si>
  <si>
    <t xml:space="preserve">  total_amount DECIMAL(10,2) NOT NULL,</t>
  </si>
  <si>
    <t xml:space="preserve">  status ENUM('pending','confirmed','shipped','delivered','cancelled') DEFAULT 'pending',</t>
  </si>
  <si>
    <t xml:space="preserve">  shipping_address TEXT,</t>
  </si>
  <si>
    <t xml:space="preserve">  payment_status ENUM('pending','completed','failed','refunded') DEFAULT 'pending',</t>
  </si>
  <si>
    <t xml:space="preserve">  FOREIGN KEY (user_id) REFERENCES users(id)</t>
  </si>
  <si>
    <t>-- Order items table</t>
  </si>
  <si>
    <t>CREATE TABLE order_items (</t>
  </si>
  <si>
    <t xml:space="preserve">  order_id INT NOT NULL,</t>
  </si>
  <si>
    <t xml:space="preserve">  quantity INT NOT NULL,</t>
  </si>
  <si>
    <t xml:space="preserve">  price_at_purchase DECIMAL(10,2) NOT NULL,</t>
  </si>
  <si>
    <t xml:space="preserve">  FOREIGN KEY (order_id) REFERENCES orders(id),</t>
  </si>
  <si>
    <t>-- END OF DATABASE SETUP - Click the lightning bolt icon to run --</t>
  </si>
  <si>
    <t>STEP 3: CREATE MAIN APP FILE (10 minutes) - src/app.js</t>
  </si>
  <si>
    <t>In VS Code, open src/app.js and paste this entire code:</t>
  </si>
  <si>
    <t>const express = require('express');</t>
  </si>
  <si>
    <t>const cors = require('cors');</t>
  </si>
  <si>
    <t>const mysql = require('mysql2/promise');</t>
  </si>
  <si>
    <t>require('dotenv').config();</t>
  </si>
  <si>
    <t>const app = express();</t>
  </si>
  <si>
    <t>app.use(cors());</t>
  </si>
  <si>
    <t>app.use(express.json());</t>
  </si>
  <si>
    <t>// Database connection</t>
  </si>
  <si>
    <t>const pool = mysql.createPool({</t>
  </si>
  <si>
    <t xml:space="preserve">  host: 'localhost',</t>
  </si>
  <si>
    <t xml:space="preserve">  user: 'root',</t>
  </si>
  <si>
    <t xml:space="preserve">  password: 'YOUR_MYSQL_PASSWORD_HERE',  // &lt;-- Change this!</t>
  </si>
  <si>
    <t xml:space="preserve">  database: 'acereads',</t>
  </si>
  <si>
    <t xml:space="preserve">  waitForConnections: true,</t>
  </si>
  <si>
    <t xml:space="preserve">  connectionLimit: 10</t>
  </si>
  <si>
    <t>});</t>
  </si>
  <si>
    <t>module.exports = { app, pool };</t>
  </si>
  <si>
    <t>STEP 4: USER REGISTRATION &amp; LOGIN (30 min) - COMPLETES T1-001, T1-002, T1-003, T1-004</t>
  </si>
  <si>
    <t>Create file: src/routes/auth.js - Copy/paste this entire code:</t>
  </si>
  <si>
    <t>const bcrypt = require('bcrypt');</t>
  </si>
  <si>
    <t>const jwt = require('jsonwebtoken');</t>
  </si>
  <si>
    <t>const router = express.Router();</t>
  </si>
  <si>
    <t>const { pool } = require('../app');</t>
  </si>
  <si>
    <t>// REGISTER NEW USER</t>
  </si>
  <si>
    <t>router.post('/register', async (req, res) =&gt; {</t>
  </si>
  <si>
    <t xml:space="preserve">  try {</t>
  </si>
  <si>
    <t xml:space="preserve">    const { email, password, first_name, last_name } = req.body;</t>
  </si>
  <si>
    <t xml:space="preserve">    </t>
  </si>
  <si>
    <t xml:space="preserve">    // Validate password (8+ chars, 1 upper, 1 number, 1 special)</t>
  </si>
  <si>
    <t xml:space="preserve">    const passwordRegex = /^(?=.*[A-Z])(?=.*\d)(?=.*[!@#$%^&amp;*]).{8,}$/;</t>
  </si>
  <si>
    <t xml:space="preserve">    if (!passwordRegex.test(password)) {</t>
  </si>
  <si>
    <t xml:space="preserve">      return res.status(400).json({ error: 'Password must be 8+ chars with 1 uppercase, 1 number, 1 special char' });</t>
  </si>
  <si>
    <t xml:space="preserve">    }</t>
  </si>
  <si>
    <t xml:space="preserve">    // Hash password (encryption)</t>
  </si>
  <si>
    <t xml:space="preserve">    const hashedPassword = await bcrypt.hash(password, 10);</t>
  </si>
  <si>
    <t xml:space="preserve">    // Save to database</t>
  </si>
  <si>
    <t xml:space="preserve">    const [result] = await pool.execute(</t>
  </si>
  <si>
    <t xml:space="preserve">      'INSERT INTO users (email, password, first_name, last_name) VALUES (?, ?, ?, ?)',</t>
  </si>
  <si>
    <t xml:space="preserve">      [email, hashedPassword, first_name, last_name]</t>
  </si>
  <si>
    <t xml:space="preserve">    );</t>
  </si>
  <si>
    <t xml:space="preserve">    res.status(201).json({ message: 'User registered successfully', userId: result.insertId });</t>
  </si>
  <si>
    <t xml:space="preserve">  } catch (error) {</t>
  </si>
  <si>
    <t xml:space="preserve">    res.status(500).json({ error: error.message });</t>
  </si>
  <si>
    <t xml:space="preserve">  }</t>
  </si>
  <si>
    <t>// LOGIN USER</t>
  </si>
  <si>
    <t>router.post('/login', async (req, res) =&gt; {</t>
  </si>
  <si>
    <t xml:space="preserve">    const { email, password } = req.body;</t>
  </si>
  <si>
    <t xml:space="preserve">    const [users] = await pool.execute('SELECT * FROM users WHERE email = ?', [email]);</t>
  </si>
  <si>
    <t xml:space="preserve">    if (users.length === 0) return res.status(401).json({ error: 'Invalid credentials' });</t>
  </si>
  <si>
    <t xml:space="preserve">    const user = users[0];</t>
  </si>
  <si>
    <t xml:space="preserve">    if (user.account_locked) return res.status(403).json({ error: 'Account locked' });</t>
  </si>
  <si>
    <t xml:space="preserve">    const validPassword = await bcrypt.compare(password, user.password);</t>
  </si>
  <si>
    <t xml:space="preserve">    if (!validPassword) {</t>
  </si>
  <si>
    <t xml:space="preserve">      const newAttempts = user.failed_login_attempts + 1;</t>
  </si>
  <si>
    <t xml:space="preserve">      await pool.execute('UPDATE users SET failed_login_attempts = ?, account_locked = ? WHERE id = ?',</t>
  </si>
  <si>
    <t xml:space="preserve">        [newAttempts, newAttempts &gt;= 5, user.id]);</t>
  </si>
  <si>
    <t xml:space="preserve">      return res.status(401).json({ error: 'Invalid credentials' });</t>
  </si>
  <si>
    <t xml:space="preserve">    await pool.execute('UPDATE users SET failed_login_attempts = 0 WHERE id = ?', [user.id]);</t>
  </si>
  <si>
    <t xml:space="preserve">    const token = jwt.sign({ userId: user.id }, 'secret-key-change-this', { expiresIn: '30m' });</t>
  </si>
  <si>
    <t xml:space="preserve">    res.json({ message: 'Login successful', token });</t>
  </si>
  <si>
    <t xml:space="preserve">  } catch (error) { res.status(500).json({ error: error.message }); }</t>
  </si>
  <si>
    <t>module.exports = router;</t>
  </si>
  <si>
    <t>STEP 5: BOOK INVENTORY API (30 min) - COMPLETES T1-005, T1-006, T1-007, T1-008, T1-010, T1-011</t>
  </si>
  <si>
    <t>Create file: src/routes/books.js - Copy/paste this entire code:</t>
  </si>
  <si>
    <t>// GET ALL BOOKS (with search &amp; filter)</t>
  </si>
  <si>
    <t>router.get('/', async (req, res) =&gt; {</t>
  </si>
  <si>
    <t xml:space="preserve">    const { search, category, minPrice, maxPrice, sortBy } = req.query;</t>
  </si>
  <si>
    <t xml:space="preserve">    let query = 'SELECT * FROM books WHERE is_deleted = FALSE';</t>
  </si>
  <si>
    <t xml:space="preserve">    const params = [];</t>
  </si>
  <si>
    <t xml:space="preserve">    if (search) { query += ' AND (title LIKE ? OR author LIKE ? OR isbn LIKE ?)';</t>
  </si>
  <si>
    <t xml:space="preserve">      params.push(`%${search}%`, `%${search}%`, `%${search}%`); }</t>
  </si>
  <si>
    <t xml:space="preserve">    if (category) { query += ' AND category = ?'; params.push(category); }</t>
  </si>
  <si>
    <t xml:space="preserve">    if (minPrice) { query += ' AND price &gt;= ?'; params.push(minPrice); }</t>
  </si>
  <si>
    <t xml:space="preserve">    if (maxPrice) { query += ' AND price &lt;= ?'; params.push(maxPrice); }</t>
  </si>
  <si>
    <t xml:space="preserve">    if (sortBy === 'price') query += ' ORDER BY price';</t>
  </si>
  <si>
    <t xml:space="preserve">    else if (sortBy === 'title') query += ' ORDER BY title';</t>
  </si>
  <si>
    <t xml:space="preserve">    else query += ' ORDER BY created_at DESC';</t>
  </si>
  <si>
    <t xml:space="preserve">    const [books] = await pool.execute(query, params);</t>
  </si>
  <si>
    <t xml:space="preserve">    res.json(books);</t>
  </si>
  <si>
    <t>// GET SINGLE BOOK BY ID</t>
  </si>
  <si>
    <t>router.get('/:id', async (req, res) =&gt; {</t>
  </si>
  <si>
    <t xml:space="preserve">    const [books] = await pool.execute('SELECT * FROM books WHERE id = ? AND is_deleted = FALSE', [req.params.id]);</t>
  </si>
  <si>
    <t xml:space="preserve">    if (books.length === 0) return res.status(404).json({ error: 'Book not found' });</t>
  </si>
  <si>
    <t xml:space="preserve">    res.json(books[0]);</t>
  </si>
  <si>
    <t>// ADD NEW BOOK (Admin only)</t>
  </si>
  <si>
    <t>router.post('/', async (req, res) =&gt; {</t>
  </si>
  <si>
    <t xml:space="preserve">    const { isbn, title, author, price, quantity, category, publisher, publication_date, description, image_url } = req.body;</t>
  </si>
  <si>
    <t xml:space="preserve">      'INSERT INTO books (isbn, title, author, price, quantity, category, publisher, publication_date, description, image_url) VALUES (?,?,?,?,?,?,?,?,?,?)',</t>
  </si>
  <si>
    <t xml:space="preserve">      [isbn, title, author, price, quantity, category, publisher, publication_date, description, image_url]</t>
  </si>
  <si>
    <t xml:space="preserve">    res.status(201).json({ message: 'Book added', bookId: result.insertId });</t>
  </si>
  <si>
    <t>// UPDATE BOOK</t>
  </si>
  <si>
    <t>router.put('/:id', async (req, res) =&gt; {</t>
  </si>
  <si>
    <t xml:space="preserve">    const { title, author, price, quantity, category } = req.body;</t>
  </si>
  <si>
    <t xml:space="preserve">    await pool.execute('UPDATE books SET title=?, author=?, price=?, quantity=?, category=? WHERE id=?',</t>
  </si>
  <si>
    <t xml:space="preserve">      [title, author, price, quantity, category, req.params.id]);</t>
  </si>
  <si>
    <t xml:space="preserve">    res.json({ message: 'Book updated' });</t>
  </si>
  <si>
    <t>// DELETE BOOK (soft delete)</t>
  </si>
  <si>
    <t>router.delete('/:id', async (req, res) =&gt; {</t>
  </si>
  <si>
    <t xml:space="preserve">    await pool.execute('UPDATE books SET is_deleted = TRUE WHERE id = ?', [req.params.id]);</t>
  </si>
  <si>
    <t xml:space="preserve">    res.json({ message: 'Book deleted' });</t>
  </si>
  <si>
    <t>STEP 6: SHOPPING CART API (20 min) - COMPLETES T2-002, T2-003</t>
  </si>
  <si>
    <t>Create file: src/routes/cart.js - Copy/paste this entire code:</t>
  </si>
  <si>
    <t>// GET USER'S CART</t>
  </si>
  <si>
    <t>router.get('/:userId', async (req, res) =&gt; {</t>
  </si>
  <si>
    <t xml:space="preserve">    const [items] = await pool.execute(`</t>
  </si>
  <si>
    <t xml:space="preserve">      SELECT ci.*, b.title, b.author, b.price, b.image_url</t>
  </si>
  <si>
    <t xml:space="preserve">      FROM cart_items ci JOIN books b ON ci.book_id = b.id</t>
  </si>
  <si>
    <t xml:space="preserve">      WHERE ci.user_id = ?`, [req.params.userId]);</t>
  </si>
  <si>
    <t xml:space="preserve">    res.json(items);</t>
  </si>
  <si>
    <t>// ADD TO CART</t>
  </si>
  <si>
    <t xml:space="preserve">    const { user_id, book_id, quantity } = req.body;</t>
  </si>
  <si>
    <t xml:space="preserve">    const [existing] = await pool.execute('SELECT * FROM cart_items WHERE user_id=? AND book_id=?', [user_id, book_id]);</t>
  </si>
  <si>
    <t xml:space="preserve">    if (existing.length &gt; 0) {</t>
  </si>
  <si>
    <t xml:space="preserve">      await pool.execute('UPDATE cart_items SET quantity = quantity + ? WHERE user_id=? AND book_id=?', [quantity, user_id, book_id]);</t>
  </si>
  <si>
    <t xml:space="preserve">    } else {</t>
  </si>
  <si>
    <t xml:space="preserve">      await pool.execute('INSERT INTO cart_items (user_id, book_id, quantity) VALUES (?,?,?)', [user_id, book_id, quantity]);</t>
  </si>
  <si>
    <t xml:space="preserve">    res.json({ message: 'Added to cart' });</t>
  </si>
  <si>
    <t>// UPDATE CART QUANTITY</t>
  </si>
  <si>
    <t xml:space="preserve">    const { quantity } = req.body;</t>
  </si>
  <si>
    <t xml:space="preserve">    await pool.execute('UPDATE cart_items SET quantity = ? WHERE id = ?', [quantity, req.params.id]);</t>
  </si>
  <si>
    <t xml:space="preserve">    res.json({ message: 'Cart updated' });</t>
  </si>
  <si>
    <t>// REMOVE FROM CART</t>
  </si>
  <si>
    <t xml:space="preserve">    await pool.execute('DELETE FROM cart_items WHERE id = ?', [req.params.id]);</t>
  </si>
  <si>
    <t xml:space="preserve">    res.json({ message: 'Removed from cart' });</t>
  </si>
  <si>
    <t>STEP 7: CREATE SERVER FILE (5 min) - This starts your app!</t>
  </si>
  <si>
    <t>Create file: src/server.js - Copy/paste this entire code:</t>
  </si>
  <si>
    <t>const { app } = require('./app');</t>
  </si>
  <si>
    <t>const authRoutes = require('./routes/auth');</t>
  </si>
  <si>
    <t>const bookRoutes = require('./routes/books');</t>
  </si>
  <si>
    <t>const cartRoutes = require('./routes/cart');</t>
  </si>
  <si>
    <t>// Connect routes</t>
  </si>
  <si>
    <t>app.use('/api/auth', authRoutes);</t>
  </si>
  <si>
    <t>app.use('/api/books', bookRoutes);</t>
  </si>
  <si>
    <t>app.use('/api/cart', cartRoutes);</t>
  </si>
  <si>
    <t>// Health check endpoint</t>
  </si>
  <si>
    <t>app.get('/api/health', (req, res) =&gt; {</t>
  </si>
  <si>
    <t xml:space="preserve">  res.json({ status: 'AceReads API is running!' });</t>
  </si>
  <si>
    <t>// Start server</t>
  </si>
  <si>
    <t>const PORT = 3000;</t>
  </si>
  <si>
    <t>app.listen(PORT, () =&gt; {</t>
  </si>
  <si>
    <t xml:space="preserve">  console.log(`AceReads server running on http://localhost:${PORT}`);</t>
  </si>
  <si>
    <t>STEP 8: RUN YOUR APPLICATION (2 min)</t>
  </si>
  <si>
    <t>In VS Code terminal, make sure you're in the acereads folder, then type:</t>
  </si>
  <si>
    <t>node src/server.js</t>
  </si>
  <si>
    <t>Starts your application</t>
  </si>
  <si>
    <t>You should see: 'AceReads server running on http://localhost:3000'</t>
  </si>
  <si>
    <t>TO TEST IT WORKS:</t>
  </si>
  <si>
    <t>Open your web browser and go to: http://localhost:3000/api/health</t>
  </si>
  <si>
    <t>You should see: { "status": "AceReads API is running!" }</t>
  </si>
  <si>
    <t>CONGRATULATIONS! Your backend is working!</t>
  </si>
  <si>
    <t>STEP 9: TEST YOUR APIs WITH POSTMAN (10 min)</t>
  </si>
  <si>
    <t>Open Postman. For each test, select the method (GET/POST), enter the URL, and click Send:</t>
  </si>
  <si>
    <t>TEST #</t>
  </si>
  <si>
    <t>WHAT TO DO</t>
  </si>
  <si>
    <t>1. Register User</t>
  </si>
  <si>
    <t>POST to http://localhost:3000/api/auth/register</t>
  </si>
  <si>
    <t xml:space="preserve">   Body (raw JSON):</t>
  </si>
  <si>
    <t>{"email":"test@test.com","password":"Test123!","first_name":"John","last_name":"Doe"}</t>
  </si>
  <si>
    <t xml:space="preserve">   Expected:</t>
  </si>
  <si>
    <t>{"message":"User registered successfully","userId":1}</t>
  </si>
  <si>
    <t>2. Login User</t>
  </si>
  <si>
    <t>POST to http://localhost:3000/api/auth/login</t>
  </si>
  <si>
    <t>{"email":"test@test.com","password":"Test123!"}</t>
  </si>
  <si>
    <t>{"message":"Login successful","token":"eyJ..."}</t>
  </si>
  <si>
    <t>3. Add a Book</t>
  </si>
  <si>
    <t>POST to http://localhost:3000/api/books</t>
  </si>
  <si>
    <t>{"isbn":"123456","title":"Test Book","author":"Author","price":19.99,"quantity":10,"category":"Fiction"}</t>
  </si>
  <si>
    <t>{"message":"Book added","bookId":1}</t>
  </si>
  <si>
    <t>4. Get All Books</t>
  </si>
  <si>
    <t>GET to http://localhost:3000/api/books</t>
  </si>
  <si>
    <t>Array of books you added</t>
  </si>
  <si>
    <t>5. Search Books</t>
  </si>
  <si>
    <t>GET to http://localhost:3000/api/books?search=Test</t>
  </si>
  <si>
    <t>Books matching 'Test' in title/author</t>
  </si>
  <si>
    <t>SPRINT 1 RETROSPECTIVE - COPY THIS TO YOUR PROJECT DOCUMENT (30 points!)</t>
  </si>
  <si>
    <t>Copy below into your Word document Sprint 1 Retrospective section:</t>
  </si>
  <si>
    <t>FINAL SUBMISSION CHECKLIST - Make sure you have everything!</t>
  </si>
  <si>
    <t>Item</t>
  </si>
  <si>
    <t>Points</t>
  </si>
  <si>
    <t>Status</t>
  </si>
  <si>
    <t>Sprint Planning document with Sprint 1 completed</t>
  </si>
  <si>
    <t xml:space="preserve">   - Week 2 hours tracked (columns M through S)</t>
  </si>
  <si>
    <t xml:space="preserve">   - All tasks have assigned responsibilities (column D)</t>
  </si>
  <si>
    <t>Sprint 1 Retrospective Summary Report in Word doc</t>
  </si>
  <si>
    <t xml:space="preserve">   - What worked well section filled out</t>
  </si>
  <si>
    <t xml:space="preserve">   - What did not work well section filled out</t>
  </si>
  <si>
    <t xml:space="preserve">   - How to improve section filled out</t>
  </si>
  <si>
    <t>The Application (working software)</t>
  </si>
  <si>
    <t xml:space="preserve">   - All source code files included</t>
  </si>
  <si>
    <t xml:space="preserve">   - Database setup script included</t>
  </si>
  <si>
    <t xml:space="preserve">   - README with setup instructions</t>
  </si>
  <si>
    <t>Roles and Responsibilities documented</t>
  </si>
  <si>
    <t>Organization and formatting</t>
  </si>
  <si>
    <t>Professional language (grammar/spelling)</t>
  </si>
  <si>
    <t>TOTAL POSSIBLE POINTS</t>
  </si>
  <si>
    <t>HOW TO CREATE YOUR ZIP FILE (CS492_GP2.ZIP)</t>
  </si>
  <si>
    <t>README.md TEMPLATE - Create this file in your acereads folder</t>
  </si>
  <si>
    <t>Sprint #1 Retrospective Summary Report</t>
  </si>
  <si>
    <t>Project:</t>
  </si>
  <si>
    <t>Sprint #:</t>
  </si>
  <si>
    <t>Sprint Duration:</t>
  </si>
  <si>
    <t>Sprint Goal:</t>
  </si>
  <si>
    <t>Date Completed:</t>
  </si>
  <si>
    <t>June 8 - June 21, 2026 (2 weeks)</t>
  </si>
  <si>
    <t>User Registration, Book Inventory &amp; Search Functionality</t>
  </si>
  <si>
    <t>WHAT WORKED WELL</t>
  </si>
  <si>
    <t>WHAT DID NOT WORK WELL</t>
  </si>
  <si>
    <t>HOW THE TEAM WILL IMPROVE</t>
  </si>
  <si>
    <t>Action Item</t>
  </si>
  <si>
    <t>Owner</t>
  </si>
  <si>
    <t>Target Date</t>
  </si>
  <si>
    <t>SPRINT METRICS SUMMARY</t>
  </si>
  <si>
    <t>Total Story Points Committed:</t>
  </si>
  <si>
    <t>Story Points Completed:</t>
  </si>
  <si>
    <t>Completion Rate:</t>
  </si>
  <si>
    <t>Tasks Completed:</t>
  </si>
  <si>
    <t>Total Tasks:</t>
  </si>
  <si>
    <t>Velocity (points/sprint):</t>
  </si>
  <si>
    <t>TEAM PARTICIPATION</t>
  </si>
  <si>
    <t>Team Member</t>
  </si>
  <si>
    <t>Tasks Assigned</t>
  </si>
  <si>
    <t>1. All 13 sprint tasks were completed on time, achieving 100% completion rate</t>
  </si>
  <si>
    <t>2. Team demonstrated strong technical skills - registration, inventory, and search features all functional</t>
  </si>
  <si>
    <t>3. Nathan stepped up to take on additional book-related tasks (T1-005, T1-006, T1-007) and delivered</t>
  </si>
  <si>
    <t>4. Sprint velocity of 104 story points establishes a solid baseline for future planning</t>
  </si>
  <si>
    <t>5. Core functionality (user auth, book inventory, search) delivered as planned for Sprint 1 goal</t>
  </si>
  <si>
    <t>1. Confusion about task ownership - unclear who was responsible for which tasks after team changes</t>
  </si>
  <si>
    <t>2. People were added to the team mid-sprint without proper onboarding or task reassignment communication</t>
  </si>
  <si>
    <t>3. Lack of communication between team members led to duplicated efforts and misunderstandings</t>
  </si>
  <si>
    <t>4. Task descriptions in backlog didn't match what team members thought they were working on (e.g., Nate's task IDs)</t>
  </si>
  <si>
    <t>5. No regular check-ins or standups to sync on progress and blockers</t>
  </si>
  <si>
    <t>Establish daily 15-min standup meetings (in-person or virtual)</t>
  </si>
  <si>
    <t>Sprint 2 Day 1</t>
  </si>
  <si>
    <t>Create shared task board (Trello/Jira) with clear ownership visible to all</t>
  </si>
  <si>
    <t>Document onboarding checklist for any new team members added mid-project</t>
  </si>
  <si>
    <t>Sprint 2 Day 3</t>
  </si>
  <si>
    <t>Review and update task descriptions in backlog before each sprint to ensure clarity</t>
  </si>
  <si>
    <t>Before Sprint 3</t>
  </si>
  <si>
    <t>Set up team Slack/Teams channel for real-time communication and questions</t>
  </si>
  <si>
    <t>Completed user registration tasks; reassigned book tasks to Nathan</t>
  </si>
  <si>
    <t>Delivered UI components on schedule</t>
  </si>
  <si>
    <t>Completed login system and search backend</t>
  </si>
  <si>
    <t>Took on 6 tasks including reassigned book schema, CRUD APIs, and admin interface</t>
  </si>
  <si>
    <t>No Sprint 1 tasks assigned - joined team for Sprint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</si>
</sst>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d\ dd/mm"/>
    <numFmt numFmtId="165" formatCode="0.0"/>
  </numFmts>
  <fonts count="28" x14ac:knownFonts="1">
    <font>
      <sz val="10"/>
      <name val="Arial"/>
    </font>
    <font>
      <b/>
      <sz val="10"/>
      <name val="Arial"/>
      <family val="2"/>
    </font>
    <font>
      <b/>
      <i/>
      <sz val="10"/>
      <name val="Arial"/>
      <family val="2"/>
    </font>
    <font>
      <u/>
      <sz val="10"/>
      <color indexed="12"/>
      <name val="Arial"/>
      <family val="2"/>
    </font>
    <font>
      <sz val="8"/>
      <name val="Arial"/>
      <family val="2"/>
    </font>
    <font>
      <sz val="10"/>
      <name val="Arial"/>
      <family val="2"/>
    </font>
    <font>
      <i/>
      <sz val="10"/>
      <name val="Arial"/>
      <family val="2"/>
    </font>
    <font>
      <sz val="10"/>
      <name val="Calibri"/>
      <family val="2"/>
    </font>
    <font>
      <sz val="12"/>
      <name val="Times New Roman"/>
      <family val="1"/>
    </font>
    <font>
      <b/>
      <sz val="12"/>
      <name val="Times New Roman"/>
      <family val="1"/>
    </font>
    <font>
      <i/>
      <sz val="12"/>
      <name val="Times New Roman"/>
      <family val="1"/>
    </font>
    <font>
      <b/>
      <i/>
      <sz val="12"/>
      <name val="Times New Roman"/>
      <family val="1"/>
    </font>
    <font>
      <sz val="10"/>
      <name val="Calibri"/>
      <family val="2"/>
      <scheme val="minor"/>
    </font>
    <font>
      <b/>
      <i/>
      <sz val="10"/>
      <name val="Calibri"/>
      <family val="2"/>
      <scheme val="minor"/>
    </font>
    <font>
      <u/>
      <sz val="10"/>
      <color indexed="12"/>
      <name val="Calibri"/>
      <family val="2"/>
      <scheme val="minor"/>
    </font>
    <font>
      <b/>
      <sz val="10"/>
      <name val="Calibri"/>
      <family val="2"/>
      <scheme val="minor"/>
    </font>
    <font>
      <sz val="10"/>
      <color indexed="8"/>
      <name val="Calibri"/>
      <family val="2"/>
      <scheme val="minor"/>
    </font>
    <font>
      <i/>
      <sz val="12"/>
      <name val="Times New Roman"/>
    </font>
    <font>
      <sz val="14"/>
      <color rgb="FF000000"/>
      <name val="Calibri"/>
      <family val="2"/>
      <scheme val="minor"/>
    </font>
    <font>
      <sz val="10"/>
      <color rgb="FF000000"/>
      <name val="Calibri"/>
      <family val="2"/>
      <scheme val="minor"/>
    </font>
    <font>
      <sz val="12"/>
      <color rgb="FF000000"/>
      <name val="Times New Roman"/>
      <family val="1"/>
    </font>
    <font>
      <sz val="14"/>
      <color rgb="FF000000"/>
      <name val="Arial"/>
      <family val="2"/>
    </font>
    <font>
      <b/>
      <sz val="16"/>
      <color rgb="FFFFFFFF"/>
      <name val="Arial"/>
    </font>
    <font>
      <b/>
      <sz val="10"/>
      <name val="Arial"/>
    </font>
    <font>
      <b/>
      <sz val="10"/>
      <color rgb="FFFFFFFF"/>
      <name val="Arial"/>
    </font>
    <font>
      <b/>
      <sz val="10"/>
      <color rgb="FFFF0000"/>
      <name val="Arial"/>
    </font>
    <font>
      <b/>
      <sz val="18"/>
      <color rgb="FFFFFFFF"/>
      <name val="Arial"/>
    </font>
    <font>
      <b/>
      <sz val="14"/>
      <color rgb="FFFFFFFF"/>
      <name val="Arial"/>
    </font>
  </fonts>
  <fills count="23">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indexed="23"/>
        <bgColor indexed="64"/>
      </patternFill>
    </fill>
    <fill>
      <patternFill patternType="solid">
        <fgColor theme="1" tint="0.499984740745262"/>
        <bgColor indexed="64"/>
      </patternFill>
    </fill>
    <fill>
      <patternFill patternType="solid">
        <fgColor rgb="FF7030A0"/>
        <bgColor indexed="64"/>
      </patternFill>
    </fill>
    <fill>
      <patternFill patternType="solid">
        <fgColor rgb="FFFF6B6B"/>
        <bgColor indexed="64"/>
      </patternFill>
    </fill>
    <fill>
      <patternFill patternType="solid">
        <fgColor rgb="FF4ECDC4"/>
        <bgColor indexed="64"/>
      </patternFill>
    </fill>
    <fill>
      <patternFill patternType="solid">
        <fgColor rgb="FFFFE66D"/>
        <bgColor indexed="64"/>
      </patternFill>
    </fill>
    <fill>
      <patternFill patternType="solid">
        <fgColor rgb="FFDDDDDD"/>
        <bgColor indexed="64"/>
      </patternFill>
    </fill>
    <fill>
      <patternFill patternType="solid">
        <fgColor rgb="FFEEEEEE"/>
        <bgColor indexed="64"/>
      </patternFill>
    </fill>
    <fill>
      <patternFill patternType="solid">
        <fgColor rgb="FF90EE90"/>
        <bgColor indexed="64"/>
      </patternFill>
    </fill>
    <fill>
      <patternFill patternType="solid">
        <fgColor rgb="FF4472C4"/>
        <bgColor indexed="64"/>
      </patternFill>
    </fill>
    <fill>
      <patternFill patternType="solid">
        <fgColor rgb="FF70AD47"/>
        <bgColor indexed="64"/>
      </patternFill>
    </fill>
    <fill>
      <patternFill patternType="solid">
        <fgColor rgb="FFE2EFDA"/>
        <bgColor indexed="64"/>
      </patternFill>
    </fill>
    <fill>
      <patternFill patternType="solid">
        <fgColor rgb="FFC00000"/>
        <bgColor indexed="64"/>
      </patternFill>
    </fill>
    <fill>
      <patternFill patternType="solid">
        <fgColor rgb="FFFCE4D6"/>
        <bgColor indexed="64"/>
      </patternFill>
    </fill>
    <fill>
      <patternFill patternType="solid">
        <fgColor rgb="FFD6DCE5"/>
        <bgColor indexed="64"/>
      </patternFill>
    </fill>
    <fill>
      <patternFill patternType="solid">
        <fgColor rgb="FFDDEBF7"/>
        <bgColor indexed="64"/>
      </patternFill>
    </fill>
    <fill>
      <patternFill patternType="solid">
        <fgColor rgb="FFE2D5F1"/>
        <bgColor indexed="64"/>
      </patternFill>
    </fill>
    <fill>
      <patternFill patternType="solid">
        <fgColor rgb="FFED7D31"/>
        <bgColor indexed="64"/>
      </patternFill>
    </fill>
    <fill>
      <patternFill patternType="solid">
        <fgColor rgb="FFFFF2CC"/>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top/>
      <bottom/>
      <diagonal/>
    </border>
    <border>
      <left/>
      <right/>
      <top/>
      <bottom style="thin">
        <color indexed="64"/>
      </bottom>
      <diagonal/>
    </border>
    <border>
      <left style="thin">
        <color indexed="64"/>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36">
    <xf numFmtId="0" fontId="0" fillId="0" borderId="0" xfId="0"/>
    <xf numFmtId="0" fontId="0" fillId="0" borderId="0" xfId="0" applyAlignment="1">
      <alignment wrapText="1"/>
    </xf>
    <xf numFmtId="0" fontId="0" fillId="0" borderId="0" xfId="0" applyAlignment="1">
      <alignment horizontal="center"/>
    </xf>
    <xf numFmtId="0" fontId="1" fillId="0" borderId="0" xfId="0" applyFont="1" applyAlignment="1">
      <alignment vertical="top" wrapText="1"/>
    </xf>
    <xf numFmtId="0" fontId="0" fillId="0" borderId="0" xfId="0" applyAlignment="1">
      <alignment horizontal="center" vertical="top"/>
    </xf>
    <xf numFmtId="0" fontId="0" fillId="0" borderId="0" xfId="0" applyAlignment="1">
      <alignment vertical="top"/>
    </xf>
    <xf numFmtId="0" fontId="0" fillId="0" borderId="0" xfId="0" applyAlignment="1">
      <alignment vertical="top" wrapText="1"/>
    </xf>
    <xf numFmtId="0" fontId="0" fillId="0" borderId="0" xfId="0" applyAlignment="1" applyProtection="1">
      <alignment horizontal="center" vertical="top"/>
      <protection hidden="1"/>
    </xf>
    <xf numFmtId="0" fontId="0" fillId="0" borderId="0" xfId="0" applyAlignment="1" applyProtection="1">
      <alignment vertical="top"/>
      <protection locked="0"/>
    </xf>
    <xf numFmtId="0" fontId="1" fillId="0" borderId="1" xfId="0" applyFont="1" applyBorder="1" applyAlignment="1">
      <alignment horizontal="center" vertical="top"/>
    </xf>
    <xf numFmtId="165" fontId="1" fillId="0" borderId="1" xfId="0" applyNumberFormat="1" applyFont="1" applyBorder="1" applyAlignment="1">
      <alignment horizontal="center" vertical="top"/>
    </xf>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0" fillId="0" borderId="0" xfId="0" applyAlignment="1">
      <alignment horizontal="center" wrapText="1"/>
    </xf>
    <xf numFmtId="0" fontId="5" fillId="0" borderId="0" xfId="0" applyFont="1" applyAlignment="1">
      <alignment wrapText="1"/>
    </xf>
    <xf numFmtId="0" fontId="2" fillId="0" borderId="0" xfId="0" applyFont="1" applyAlignment="1">
      <alignment wrapText="1"/>
    </xf>
    <xf numFmtId="0" fontId="2" fillId="0" borderId="0" xfId="0" applyFont="1" applyAlignment="1">
      <alignment horizontal="center" vertical="top" wrapText="1"/>
    </xf>
    <xf numFmtId="0" fontId="1" fillId="2" borderId="2" xfId="0" applyFont="1" applyFill="1" applyBorder="1" applyAlignment="1">
      <alignment horizontal="center" vertical="top" wrapText="1"/>
    </xf>
    <xf numFmtId="0" fontId="1" fillId="2" borderId="3" xfId="0" applyFont="1" applyFill="1" applyBorder="1" applyAlignment="1">
      <alignment vertical="top" wrapText="1"/>
    </xf>
    <xf numFmtId="0" fontId="1" fillId="2" borderId="3" xfId="0" applyFont="1" applyFill="1" applyBorder="1" applyAlignment="1">
      <alignment horizontal="center" vertical="top" wrapText="1"/>
    </xf>
    <xf numFmtId="0" fontId="1" fillId="2" borderId="4" xfId="0" applyFont="1" applyFill="1" applyBorder="1" applyAlignment="1">
      <alignment horizontal="center" vertical="top" wrapText="1"/>
    </xf>
    <xf numFmtId="164" fontId="1" fillId="2" borderId="3" xfId="0" applyNumberFormat="1" applyFont="1" applyFill="1" applyBorder="1" applyAlignment="1">
      <alignment horizontal="center" vertical="top" wrapText="1"/>
    </xf>
    <xf numFmtId="0" fontId="0" fillId="3" borderId="1" xfId="0" applyFill="1" applyBorder="1" applyAlignment="1" applyProtection="1">
      <alignment horizontal="center" vertical="top"/>
      <protection locked="0"/>
    </xf>
    <xf numFmtId="14" fontId="0" fillId="3" borderId="1" xfId="0" applyNumberFormat="1" applyFill="1" applyBorder="1" applyAlignment="1" applyProtection="1">
      <alignment horizontal="center" vertical="top"/>
      <protection locked="0"/>
    </xf>
    <xf numFmtId="0" fontId="0" fillId="3" borderId="5" xfId="0" applyFill="1" applyBorder="1" applyAlignment="1" applyProtection="1">
      <alignment horizontal="center" vertical="top"/>
      <protection locked="0"/>
    </xf>
    <xf numFmtId="0" fontId="0" fillId="3" borderId="6" xfId="0" applyFill="1" applyBorder="1" applyAlignment="1" applyProtection="1">
      <alignment horizontal="center" vertical="top"/>
      <protection locked="0"/>
    </xf>
    <xf numFmtId="164" fontId="1" fillId="2" borderId="7" xfId="0" applyNumberFormat="1" applyFont="1" applyFill="1" applyBorder="1" applyAlignment="1">
      <alignment horizontal="center" vertical="top" wrapText="1"/>
    </xf>
    <xf numFmtId="0" fontId="1" fillId="3" borderId="8" xfId="0" applyFont="1" applyFill="1" applyBorder="1" applyAlignment="1" applyProtection="1">
      <alignment horizontal="center" vertical="top"/>
      <protection locked="0"/>
    </xf>
    <xf numFmtId="0" fontId="5" fillId="3" borderId="9" xfId="0" applyFont="1" applyFill="1" applyBorder="1" applyAlignment="1" applyProtection="1">
      <alignment horizontal="center" vertical="top"/>
      <protection locked="0"/>
    </xf>
    <xf numFmtId="0" fontId="5" fillId="3" borderId="1" xfId="0" applyFont="1" applyFill="1" applyBorder="1" applyAlignment="1" applyProtection="1">
      <alignment horizontal="center" vertical="top"/>
      <protection locked="0"/>
    </xf>
    <xf numFmtId="0" fontId="5" fillId="3" borderId="1" xfId="0" applyFont="1" applyFill="1" applyBorder="1" applyAlignment="1" applyProtection="1">
      <alignment vertical="top" wrapText="1"/>
      <protection locked="0"/>
    </xf>
    <xf numFmtId="0" fontId="5" fillId="3" borderId="10" xfId="0" applyFont="1" applyFill="1" applyBorder="1" applyAlignment="1" applyProtection="1">
      <alignment horizontal="center" vertical="top"/>
      <protection locked="0"/>
    </xf>
    <xf numFmtId="0" fontId="5" fillId="0" borderId="0" xfId="0" applyFont="1" applyAlignment="1" applyProtection="1">
      <alignment vertical="top"/>
      <protection locked="0"/>
    </xf>
    <xf numFmtId="0" fontId="1" fillId="2" borderId="1" xfId="0" applyFont="1" applyFill="1" applyBorder="1" applyAlignment="1">
      <alignment horizontal="center"/>
    </xf>
    <xf numFmtId="0" fontId="12" fillId="0" borderId="0" xfId="0" applyFont="1" applyAlignment="1">
      <alignment horizontal="center" wrapText="1"/>
    </xf>
    <xf numFmtId="0" fontId="13" fillId="0" borderId="0" xfId="0" applyFont="1" applyAlignment="1">
      <alignment horizontal="center" vertical="top" wrapText="1"/>
    </xf>
    <xf numFmtId="0" fontId="12" fillId="0" borderId="0" xfId="0" applyFont="1" applyAlignment="1">
      <alignment wrapText="1"/>
    </xf>
    <xf numFmtId="0" fontId="13" fillId="0" borderId="0" xfId="0" applyFont="1" applyAlignment="1">
      <alignment wrapText="1"/>
    </xf>
    <xf numFmtId="0" fontId="14" fillId="0" borderId="0" xfId="1" applyFont="1" applyAlignment="1" applyProtection="1">
      <alignment wrapText="1"/>
    </xf>
    <xf numFmtId="0" fontId="12" fillId="0" borderId="0" xfId="0" applyFont="1" applyAlignment="1">
      <alignment horizontal="center" vertical="top" wrapText="1"/>
    </xf>
    <xf numFmtId="0" fontId="15" fillId="0" borderId="0" xfId="0" applyFont="1" applyAlignment="1">
      <alignment wrapText="1"/>
    </xf>
    <xf numFmtId="0" fontId="12" fillId="3" borderId="0" xfId="0" applyFont="1" applyFill="1" applyAlignment="1">
      <alignment wrapText="1"/>
    </xf>
    <xf numFmtId="0" fontId="16" fillId="0" borderId="0" xfId="0" applyFont="1"/>
    <xf numFmtId="0" fontId="8" fillId="0" borderId="0" xfId="0" applyFont="1"/>
    <xf numFmtId="0" fontId="8" fillId="0" borderId="0" xfId="0" applyFont="1" applyAlignment="1">
      <alignment horizontal="center"/>
    </xf>
    <xf numFmtId="0" fontId="11" fillId="0" borderId="0" xfId="0" applyFont="1" applyAlignment="1">
      <alignment vertical="center"/>
    </xf>
    <xf numFmtId="0" fontId="11" fillId="5" borderId="14" xfId="0" applyFont="1" applyFill="1" applyBorder="1" applyAlignment="1">
      <alignment horizontal="center" vertical="center"/>
    </xf>
    <xf numFmtId="0" fontId="11" fillId="5" borderId="13" xfId="0" applyFont="1" applyFill="1" applyBorder="1" applyAlignment="1">
      <alignment horizontal="center" vertical="center"/>
    </xf>
    <xf numFmtId="0" fontId="9" fillId="2" borderId="1" xfId="0" applyFont="1" applyFill="1" applyBorder="1" applyAlignment="1">
      <alignment horizontal="center" vertical="center"/>
    </xf>
    <xf numFmtId="0" fontId="10" fillId="3" borderId="11" xfId="0" applyFont="1" applyFill="1" applyBorder="1" applyAlignment="1">
      <alignment horizontal="center" vertical="center"/>
    </xf>
    <xf numFmtId="0" fontId="1" fillId="2" borderId="11" xfId="0" applyFont="1" applyFill="1" applyBorder="1" applyAlignment="1">
      <alignment horizontal="center"/>
    </xf>
    <xf numFmtId="0" fontId="1" fillId="2" borderId="16" xfId="0" applyFont="1" applyFill="1" applyBorder="1" applyAlignment="1">
      <alignment vertical="top" wrapText="1"/>
    </xf>
    <xf numFmtId="0" fontId="5" fillId="3" borderId="11" xfId="0" applyFont="1" applyFill="1" applyBorder="1" applyAlignment="1" applyProtection="1">
      <alignment vertical="top" wrapText="1"/>
      <protection locked="0"/>
    </xf>
    <xf numFmtId="0" fontId="1" fillId="2" borderId="5" xfId="0" applyFont="1" applyFill="1" applyBorder="1" applyAlignment="1">
      <alignment vertical="top" wrapText="1"/>
    </xf>
    <xf numFmtId="0" fontId="1" fillId="2" borderId="13" xfId="0" applyFont="1" applyFill="1" applyBorder="1" applyAlignment="1">
      <alignment vertical="top" wrapText="1"/>
    </xf>
    <xf numFmtId="0" fontId="1" fillId="2" borderId="17" xfId="0" applyFont="1" applyFill="1" applyBorder="1" applyAlignment="1">
      <alignment horizontal="center" vertical="top"/>
    </xf>
    <xf numFmtId="0" fontId="1" fillId="2" borderId="18" xfId="0" applyFont="1" applyFill="1" applyBorder="1" applyAlignment="1">
      <alignment horizontal="center" vertical="top"/>
    </xf>
    <xf numFmtId="0" fontId="5" fillId="3" borderId="22" xfId="0" applyFont="1" applyFill="1" applyBorder="1" applyAlignment="1" applyProtection="1">
      <alignment horizontal="center" vertical="top"/>
      <protection locked="0"/>
    </xf>
    <xf numFmtId="0" fontId="1" fillId="3" borderId="23" xfId="0" applyFont="1" applyFill="1" applyBorder="1" applyAlignment="1" applyProtection="1">
      <alignment horizontal="center" vertical="top"/>
      <protection locked="0"/>
    </xf>
    <xf numFmtId="0" fontId="10" fillId="0" borderId="11" xfId="0" applyFont="1" applyBorder="1" applyAlignment="1">
      <alignment horizontal="center" vertical="center"/>
    </xf>
    <xf numFmtId="0" fontId="10" fillId="3" borderId="11" xfId="0" applyFont="1" applyFill="1" applyBorder="1" applyAlignment="1">
      <alignment horizontal="center" vertical="center" wrapText="1"/>
    </xf>
    <xf numFmtId="0" fontId="17" fillId="3" borderId="15" xfId="0" applyFont="1" applyFill="1" applyBorder="1" applyAlignment="1">
      <alignment horizontal="center" vertical="center"/>
    </xf>
    <xf numFmtId="0" fontId="17" fillId="3" borderId="15" xfId="0" applyFont="1" applyFill="1" applyBorder="1" applyAlignment="1">
      <alignment horizontal="center" vertical="center" wrapText="1"/>
    </xf>
    <xf numFmtId="0" fontId="5" fillId="3" borderId="27" xfId="0" applyFont="1" applyFill="1" applyBorder="1" applyAlignment="1" applyProtection="1">
      <alignment horizontal="center" vertical="top"/>
      <protection locked="0"/>
    </xf>
    <xf numFmtId="0" fontId="1" fillId="3" borderId="28" xfId="0" applyFont="1" applyFill="1" applyBorder="1" applyAlignment="1" applyProtection="1">
      <alignment horizontal="center" vertical="top"/>
      <protection locked="0"/>
    </xf>
    <xf numFmtId="0" fontId="5" fillId="3" borderId="25" xfId="0" applyFont="1" applyFill="1" applyBorder="1" applyAlignment="1" applyProtection="1">
      <alignment horizontal="center" vertical="top"/>
      <protection locked="0"/>
    </xf>
    <xf numFmtId="0" fontId="5" fillId="3" borderId="6" xfId="0" applyFont="1" applyFill="1" applyBorder="1" applyAlignment="1" applyProtection="1">
      <alignment horizontal="center" vertical="top"/>
      <protection locked="0"/>
    </xf>
    <xf numFmtId="0" fontId="5" fillId="3" borderId="5" xfId="0" applyFont="1" applyFill="1" applyBorder="1" applyAlignment="1" applyProtection="1">
      <alignment vertical="top" wrapText="1"/>
      <protection locked="0"/>
    </xf>
    <xf numFmtId="0" fontId="5" fillId="3" borderId="15" xfId="0" applyFont="1" applyFill="1" applyBorder="1" applyAlignment="1" applyProtection="1">
      <alignment vertical="top" wrapText="1"/>
      <protection locked="0"/>
    </xf>
    <xf numFmtId="0" fontId="5" fillId="3" borderId="6" xfId="0" applyFont="1" applyFill="1" applyBorder="1" applyAlignment="1" applyProtection="1">
      <alignment vertical="top" wrapText="1"/>
      <protection locked="0"/>
    </xf>
    <xf numFmtId="0" fontId="5" fillId="3" borderId="29" xfId="0" applyFont="1" applyFill="1" applyBorder="1" applyAlignment="1" applyProtection="1">
      <alignment horizontal="center" vertical="top"/>
      <protection locked="0"/>
    </xf>
    <xf numFmtId="0" fontId="5" fillId="3" borderId="30" xfId="0" applyFont="1" applyFill="1" applyBorder="1" applyAlignment="1" applyProtection="1">
      <alignment vertical="top" wrapText="1"/>
      <protection locked="0"/>
    </xf>
    <xf numFmtId="0" fontId="1" fillId="3" borderId="31" xfId="0" applyFont="1" applyFill="1" applyBorder="1" applyAlignment="1" applyProtection="1">
      <alignment horizontal="center" vertical="top"/>
      <protection locked="0"/>
    </xf>
    <xf numFmtId="0" fontId="5" fillId="3" borderId="5" xfId="0" applyFont="1" applyFill="1" applyBorder="1" applyAlignment="1" applyProtection="1">
      <alignment horizontal="center" vertical="top"/>
      <protection locked="0"/>
    </xf>
    <xf numFmtId="0" fontId="5" fillId="3" borderId="30" xfId="0" applyFont="1" applyFill="1" applyBorder="1" applyAlignment="1" applyProtection="1">
      <alignment horizontal="center" vertical="top"/>
      <protection locked="0"/>
    </xf>
    <xf numFmtId="0" fontId="1" fillId="3" borderId="11" xfId="0" applyFont="1" applyFill="1" applyBorder="1" applyAlignment="1" applyProtection="1">
      <alignment horizontal="center" vertical="top"/>
      <protection locked="0"/>
    </xf>
    <xf numFmtId="0" fontId="1" fillId="3" borderId="26" xfId="0" applyFont="1" applyFill="1" applyBorder="1" applyAlignment="1" applyProtection="1">
      <alignment horizontal="center" vertical="top"/>
      <protection locked="0"/>
    </xf>
    <xf numFmtId="0" fontId="0" fillId="3" borderId="30" xfId="0" applyFill="1" applyBorder="1" applyAlignment="1" applyProtection="1">
      <alignment horizontal="center" vertical="top"/>
      <protection locked="0"/>
    </xf>
    <xf numFmtId="0" fontId="0" fillId="3" borderId="11" xfId="0" applyFill="1" applyBorder="1" applyAlignment="1" applyProtection="1">
      <alignment horizontal="center" vertical="top"/>
      <protection locked="0"/>
    </xf>
    <xf numFmtId="0" fontId="0" fillId="3" borderId="32" xfId="0" applyFill="1" applyBorder="1" applyAlignment="1" applyProtection="1">
      <alignment horizontal="center" vertical="top"/>
      <protection locked="0"/>
    </xf>
    <xf numFmtId="0" fontId="0" fillId="3" borderId="10" xfId="0" applyFill="1" applyBorder="1" applyAlignment="1" applyProtection="1">
      <alignment horizontal="center" vertical="top"/>
      <protection locked="0"/>
    </xf>
    <xf numFmtId="0" fontId="0" fillId="3" borderId="12" xfId="0" applyFill="1" applyBorder="1" applyAlignment="1" applyProtection="1">
      <alignment horizontal="center" vertical="top"/>
      <protection locked="0"/>
    </xf>
    <xf numFmtId="0" fontId="0" fillId="3" borderId="14" xfId="0" applyFill="1" applyBorder="1" applyAlignment="1" applyProtection="1">
      <alignment horizontal="center" vertical="top"/>
      <protection locked="0"/>
    </xf>
    <xf numFmtId="0" fontId="0" fillId="3" borderId="13" xfId="0" applyFill="1" applyBorder="1" applyAlignment="1" applyProtection="1">
      <alignment horizontal="center" vertical="top"/>
      <protection locked="0"/>
    </xf>
    <xf numFmtId="0" fontId="0" fillId="3" borderId="33" xfId="0" applyFill="1" applyBorder="1" applyAlignment="1" applyProtection="1">
      <alignment horizontal="center" vertical="top"/>
      <protection locked="0"/>
    </xf>
    <xf numFmtId="0" fontId="5" fillId="3" borderId="34" xfId="0" applyFont="1" applyFill="1" applyBorder="1" applyAlignment="1" applyProtection="1">
      <alignment horizontal="center" vertical="top"/>
      <protection locked="0"/>
    </xf>
    <xf numFmtId="0" fontId="0" fillId="3" borderId="35" xfId="0" applyFill="1" applyBorder="1" applyAlignment="1" applyProtection="1">
      <alignment horizontal="center" vertical="top"/>
      <protection locked="0"/>
    </xf>
    <xf numFmtId="0" fontId="0" fillId="3" borderId="0" xfId="0" applyFill="1" applyAlignment="1" applyProtection="1">
      <alignment horizontal="center" vertical="top"/>
      <protection locked="0"/>
    </xf>
    <xf numFmtId="0" fontId="0" fillId="3" borderId="24" xfId="0" applyFill="1" applyBorder="1" applyAlignment="1" applyProtection="1">
      <alignment horizontal="center" vertical="top"/>
      <protection locked="0"/>
    </xf>
    <xf numFmtId="0" fontId="5" fillId="3" borderId="13" xfId="0" applyFont="1" applyFill="1" applyBorder="1" applyAlignment="1" applyProtection="1">
      <alignment horizontal="center" vertical="top"/>
      <protection locked="0"/>
    </xf>
    <xf numFmtId="0" fontId="5" fillId="3" borderId="15" xfId="0" applyFont="1" applyFill="1" applyBorder="1" applyAlignment="1" applyProtection="1">
      <alignment horizontal="center" vertical="top"/>
      <protection locked="0"/>
    </xf>
    <xf numFmtId="0" fontId="0" fillId="3" borderId="36" xfId="0" applyFill="1" applyBorder="1" applyAlignment="1" applyProtection="1">
      <alignment horizontal="center" vertical="top"/>
      <protection locked="0"/>
    </xf>
    <xf numFmtId="0" fontId="0" fillId="3" borderId="15" xfId="0" applyFill="1" applyBorder="1" applyAlignment="1" applyProtection="1">
      <alignment horizontal="center" vertical="top"/>
      <protection locked="0"/>
    </xf>
    <xf numFmtId="0" fontId="23" fillId="0" borderId="0" xfId="0" applyFont="1"/>
    <xf numFmtId="0" fontId="23" fillId="10" borderId="0" xfId="0" applyFont="1" applyFill="1"/>
    <xf numFmtId="0" fontId="23" fillId="11" borderId="0" xfId="0" applyFont="1" applyFill="1"/>
    <xf numFmtId="0" fontId="23" fillId="12" borderId="0" xfId="0" applyFont="1" applyFill="1"/>
    <xf numFmtId="0" fontId="25" fillId="0" borderId="0" xfId="0" applyFont="1"/>
    <xf numFmtId="0" fontId="11" fillId="6" borderId="13" xfId="0" applyFont="1" applyFill="1" applyBorder="1" applyAlignment="1">
      <alignment horizontal="center" vertical="center"/>
    </xf>
    <xf numFmtId="0" fontId="20" fillId="4" borderId="0" xfId="0" applyFont="1" applyFill="1" applyAlignment="1">
      <alignment horizontal="center" vertical="center" wrapText="1"/>
    </xf>
    <xf numFmtId="0" fontId="20" fillId="4" borderId="0" xfId="0" applyFont="1" applyFill="1"/>
    <xf numFmtId="0" fontId="18" fillId="4" borderId="0" xfId="0" applyFont="1" applyFill="1" applyAlignment="1">
      <alignment horizontal="center" vertical="center" wrapText="1"/>
    </xf>
    <xf numFmtId="0" fontId="19" fillId="0" borderId="0" xfId="0" applyFont="1" applyAlignment="1">
      <alignment horizontal="center" wrapText="1"/>
    </xf>
    <xf numFmtId="0" fontId="21" fillId="4" borderId="0" xfId="0" applyFont="1" applyFill="1" applyAlignment="1">
      <alignment horizontal="center" vertical="center" wrapText="1"/>
    </xf>
    <xf numFmtId="0" fontId="6" fillId="3" borderId="11" xfId="0" applyFont="1" applyFill="1" applyBorder="1" applyAlignment="1">
      <alignment horizontal="center"/>
    </xf>
    <xf numFmtId="0" fontId="6" fillId="3" borderId="12" xfId="0" applyFont="1" applyFill="1" applyBorder="1" applyAlignment="1">
      <alignment horizontal="center"/>
    </xf>
    <xf numFmtId="0" fontId="6" fillId="3" borderId="10" xfId="0" applyFont="1" applyFill="1" applyBorder="1" applyAlignment="1">
      <alignment horizontal="center"/>
    </xf>
    <xf numFmtId="0" fontId="1" fillId="2" borderId="19" xfId="0" applyFont="1" applyFill="1" applyBorder="1" applyAlignment="1">
      <alignment horizontal="center" vertical="top"/>
    </xf>
    <xf numFmtId="0" fontId="1" fillId="2" borderId="20" xfId="0" applyFont="1" applyFill="1" applyBorder="1" applyAlignment="1">
      <alignment horizontal="center" vertical="top"/>
    </xf>
    <xf numFmtId="0" fontId="1" fillId="2" borderId="21" xfId="0" applyFont="1" applyFill="1" applyBorder="1" applyAlignment="1">
      <alignment horizontal="center" vertical="top"/>
    </xf>
    <xf numFmtId="0" fontId="1" fillId="0" borderId="5" xfId="0" applyFont="1" applyBorder="1" applyAlignment="1">
      <alignment horizontal="center" vertical="center"/>
    </xf>
    <xf numFmtId="0" fontId="1" fillId="0" borderId="13" xfId="0" applyFont="1" applyBorder="1" applyAlignment="1">
      <alignment horizontal="center" vertical="center"/>
    </xf>
    <xf numFmtId="0" fontId="23" fillId="9" borderId="0" xfId="0" applyFont="1" applyFill="1"/>
    <xf numFmtId="0" fontId="0" fillId="0" borderId="0" xfId="0"/>
    <xf numFmtId="0" fontId="22" fillId="7" borderId="0" xfId="0" applyFont="1" applyFill="1"/>
    <xf numFmtId="0" fontId="23" fillId="8" borderId="0" xfId="0" applyFont="1" applyFill="1"/>
    <xf numFmtId="0" fontId="24" fillId="7" borderId="0" xfId="0" applyFont="1" applyFill="1"/>
    <xf numFmtId="0" fontId="23" fillId="12" borderId="0" xfId="0" applyFont="1" applyFill="1"/>
    <xf numFmtId="0" fontId="26" fillId="13" borderId="0" xfId="0" applyFont="1" applyFill="1" applyAlignment="1">
      <alignment horizontal="center"/>
    </xf>
    <xf numFmtId="15" fontId="0" fillId="0" borderId="0" xfId="0" applyNumberFormat="1"/>
    <xf numFmtId="0" fontId="23" fillId="0" borderId="0" xfId="0" applyFont="1"/>
    <xf numFmtId="0" fontId="27" fillId="14" borderId="0" xfId="0" applyFont="1" applyFill="1"/>
    <xf numFmtId="0" fontId="0" fillId="15" borderId="0" xfId="0" applyFill="1"/>
    <xf numFmtId="0" fontId="27" fillId="16" borderId="0" xfId="0" applyFont="1" applyFill="1"/>
    <xf numFmtId="0" fontId="0" fillId="17" borderId="0" xfId="0" applyFill="1"/>
    <xf numFmtId="0" fontId="27" fillId="13" borderId="0" xfId="0" applyFont="1" applyFill="1"/>
    <xf numFmtId="0" fontId="27" fillId="6" borderId="0" xfId="0" applyFont="1" applyFill="1"/>
    <xf numFmtId="0" fontId="23" fillId="20" borderId="0" xfId="0" applyFont="1" applyFill="1"/>
    <xf numFmtId="0" fontId="0" fillId="20" borderId="0" xfId="0" applyFill="1"/>
    <xf numFmtId="9" fontId="0" fillId="20" borderId="0" xfId="0" applyNumberFormat="1" applyFill="1"/>
    <xf numFmtId="0" fontId="23" fillId="20" borderId="0" xfId="0" applyFont="1" applyFill="1"/>
    <xf numFmtId="0" fontId="27" fillId="21" borderId="0" xfId="0" applyFont="1" applyFill="1"/>
    <xf numFmtId="0" fontId="23" fillId="18" borderId="1" xfId="0" applyFont="1" applyFill="1" applyBorder="1"/>
    <xf numFmtId="0" fontId="0" fillId="19" borderId="1" xfId="0" applyFill="1" applyBorder="1"/>
    <xf numFmtId="0" fontId="23" fillId="17" borderId="1" xfId="0" applyFont="1" applyFill="1" applyBorder="1"/>
    <xf numFmtId="0" fontId="0" fillId="22" borderId="1" xfId="0" applyFill="1" applyBorder="1"/>
  </cellXfs>
  <cellStyles count="2">
    <cellStyle name="Hyperlink" xfId="1" builtinId="8"/>
    <cellStyle name="Normal" xfId="0" builtinId="0"/>
  </cellStyles>
  <dxfs count="15">
    <dxf>
      <font>
        <condense val="0"/>
        <extend val="0"/>
        <color indexed="10"/>
      </font>
    </dxf>
    <dxf>
      <font>
        <condense val="0"/>
        <extend val="0"/>
        <color indexed="57"/>
      </font>
    </dxf>
    <dxf>
      <font>
        <condense val="0"/>
        <extend val="0"/>
        <color indexed="10"/>
      </font>
    </dxf>
    <dxf>
      <font>
        <condense val="0"/>
        <extend val="0"/>
        <color indexed="57"/>
      </font>
    </dxf>
    <dxf>
      <font>
        <i/>
        <sz val="12"/>
        <name val="Times New Roman"/>
      </font>
      <fill>
        <patternFill patternType="solid">
          <fgColor indexed="64"/>
          <bgColor indexed="41"/>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strike val="0"/>
        <condense val="0"/>
        <extend val="0"/>
        <outline val="0"/>
        <shadow val="0"/>
        <u val="none"/>
        <vertAlign val="baseline"/>
        <sz val="12"/>
        <color auto="1"/>
        <name val="Times New Roman"/>
        <scheme val="none"/>
      </font>
      <fill>
        <patternFill patternType="solid">
          <fgColor indexed="64"/>
          <bgColor indexed="41"/>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strike val="0"/>
        <condense val="0"/>
        <extend val="0"/>
        <outline val="0"/>
        <shadow val="0"/>
        <u val="none"/>
        <vertAlign val="baseline"/>
        <sz val="12"/>
        <color auto="1"/>
        <name val="Times New Roman"/>
        <scheme val="none"/>
      </font>
      <fill>
        <patternFill patternType="solid">
          <fgColor indexed="64"/>
          <bgColor indexed="41"/>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strike val="0"/>
        <condense val="0"/>
        <extend val="0"/>
        <outline val="0"/>
        <shadow val="0"/>
        <u val="none"/>
        <vertAlign val="baseline"/>
        <sz val="12"/>
        <color auto="1"/>
        <name val="Times New Roman"/>
        <scheme val="none"/>
      </font>
      <fill>
        <patternFill patternType="solid">
          <fgColor indexed="64"/>
          <bgColor indexed="41"/>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strike val="0"/>
        <condense val="0"/>
        <extend val="0"/>
        <outline val="0"/>
        <shadow val="0"/>
        <u val="none"/>
        <vertAlign val="baseline"/>
        <sz val="12"/>
        <color auto="1"/>
        <name val="Times New Roman"/>
        <scheme val="none"/>
      </font>
      <fill>
        <patternFill patternType="solid">
          <fgColor indexed="64"/>
          <bgColor indexed="41"/>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strike val="0"/>
        <condense val="0"/>
        <extend val="0"/>
        <outline val="0"/>
        <shadow val="0"/>
        <u val="none"/>
        <vertAlign val="baseline"/>
        <sz val="12"/>
        <color auto="1"/>
        <name val="Times New Roman"/>
        <scheme val="none"/>
      </font>
      <fill>
        <patternFill patternType="solid">
          <fgColor indexed="64"/>
          <bgColor indexed="41"/>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strike val="0"/>
        <condense val="0"/>
        <extend val="0"/>
        <outline val="0"/>
        <shadow val="0"/>
        <u val="none"/>
        <vertAlign val="baseline"/>
        <sz val="12"/>
        <color auto="1"/>
        <name val="Times New Roman"/>
        <scheme val="none"/>
      </font>
      <fill>
        <patternFill patternType="solid">
          <fgColor indexed="64"/>
          <bgColor indexed="41"/>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thin">
          <color indexed="64"/>
        </left>
        <right style="thin">
          <color indexed="64"/>
        </right>
        <top style="thin">
          <color indexed="64"/>
        </top>
      </border>
    </dxf>
    <dxf>
      <font>
        <b val="0"/>
        <i/>
        <strike val="0"/>
        <condense val="0"/>
        <extend val="0"/>
        <outline val="0"/>
        <shadow val="0"/>
        <u val="none"/>
        <vertAlign val="baseline"/>
        <sz val="12"/>
        <color auto="1"/>
        <name val="Times New Roman"/>
        <scheme val="none"/>
      </font>
      <fill>
        <patternFill patternType="solid">
          <fgColor indexed="64"/>
          <bgColor indexed="41"/>
        </patternFill>
      </fill>
      <alignment horizontal="center" vertical="center" textRotation="0" wrapText="0" indent="0" justifyLastLine="0" shrinkToFit="0" readingOrder="0"/>
    </dxf>
    <dxf>
      <border outline="0">
        <bottom style="thin">
          <color indexed="64"/>
        </bottom>
      </border>
    </dxf>
    <dxf>
      <font>
        <b/>
        <i/>
        <strike val="0"/>
        <condense val="0"/>
        <extend val="0"/>
        <outline val="0"/>
        <shadow val="0"/>
        <u val="none"/>
        <vertAlign val="baseline"/>
        <sz val="12"/>
        <color auto="1"/>
        <name val="Times New Roman"/>
        <scheme val="none"/>
      </font>
      <fill>
        <patternFill patternType="solid">
          <fgColor indexed="64"/>
          <bgColor theme="1" tint="0.499984740745262"/>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Burndown Chart </a:t>
            </a:r>
          </a:p>
        </c:rich>
      </c:tx>
      <c:layout>
        <c:manualLayout>
          <c:xMode val="edge"/>
          <c:yMode val="edge"/>
          <c:x val="0.40353269043616735"/>
          <c:y val="4.2895471399408407E-2"/>
        </c:manualLayout>
      </c:layout>
      <c:overlay val="0"/>
      <c:spPr>
        <a:noFill/>
        <a:ln w="25400">
          <a:noFill/>
        </a:ln>
      </c:spPr>
    </c:title>
    <c:autoTitleDeleted val="0"/>
    <c:plotArea>
      <c:layout>
        <c:manualLayout>
          <c:layoutTarget val="inner"/>
          <c:xMode val="edge"/>
          <c:yMode val="edge"/>
          <c:x val="0.10375100372727382"/>
          <c:y val="0.16895841228402597"/>
          <c:w val="0.88043536671206712"/>
          <c:h val="0.66219925828279247"/>
        </c:manualLayout>
      </c:layout>
      <c:lineChart>
        <c:grouping val="standard"/>
        <c:varyColors val="0"/>
        <c:ser>
          <c:idx val="0"/>
          <c:order val="0"/>
          <c:spPr>
            <a:ln w="12700">
              <a:solidFill>
                <a:srgbClr val="000090"/>
              </a:solidFill>
              <a:prstDash val="solid"/>
            </a:ln>
          </c:spPr>
          <c:marker>
            <c:symbol val="diamond"/>
            <c:size val="5"/>
            <c:spPr>
              <a:solidFill>
                <a:srgbClr val="000090"/>
              </a:solidFill>
              <a:ln>
                <a:solidFill>
                  <a:srgbClr val="000090"/>
                </a:solidFill>
                <a:prstDash val="solid"/>
              </a:ln>
            </c:spPr>
          </c:marker>
          <c:dLbls>
            <c:spPr>
              <a:noFill/>
              <a:ln w="25400">
                <a:noFill/>
              </a:ln>
            </c:spPr>
            <c:txPr>
              <a:bodyPr wrap="square" lIns="38100" tIns="19050" rIns="38100" bIns="19050" anchor="ctr">
                <a:spAutoFit/>
              </a:bodyPr>
              <a:lstStyle/>
              <a:p>
                <a:pPr>
                  <a:defRPr sz="1125"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'Sprint 1'!$F$25:$S$25</c:f>
              <c:numCache>
                <c:formatCode>General</c:formatCode>
                <c:ptCount val="14"/>
                <c:pt idx="0">
                  <c:v>104</c:v>
                </c:pt>
                <c:pt idx="1">
                  <c:v>101</c:v>
                </c:pt>
                <c:pt idx="2">
                  <c:v>97</c:v>
                </c:pt>
                <c:pt idx="3">
                  <c:v>87</c:v>
                </c:pt>
                <c:pt idx="4">
                  <c:v>77</c:v>
                </c:pt>
                <c:pt idx="5">
                  <c:v>70</c:v>
                </c:pt>
                <c:pt idx="6">
                  <c:v>62</c:v>
                </c:pt>
                <c:pt idx="7">
                  <c:v>56</c:v>
                </c:pt>
                <c:pt idx="8">
                  <c:v>48</c:v>
                </c:pt>
                <c:pt idx="9">
                  <c:v>28</c:v>
                </c:pt>
                <c:pt idx="10">
                  <c:v>18</c:v>
                </c:pt>
                <c:pt idx="11">
                  <c:v>8</c:v>
                </c:pt>
                <c:pt idx="12">
                  <c:v>0</c:v>
                </c:pt>
                <c:pt idx="13">
                  <c:v>0</c:v>
                </c:pt>
              </c:numCache>
            </c:numRef>
          </c:val>
          <c:smooth val="1"/>
          <c:extLst>
            <c:ext xmlns:c16="http://schemas.microsoft.com/office/drawing/2014/chart" uri="{C3380CC4-5D6E-409C-BE32-E72D297353CC}">
              <c16:uniqueId val="{00000000-55A1-4C18-A971-9C38F0E96954}"/>
            </c:ext>
          </c:extLst>
        </c:ser>
        <c:ser>
          <c:idx val="1"/>
          <c:order val="1"/>
          <c:spPr>
            <a:ln w="12700">
              <a:solidFill>
                <a:srgbClr val="F20884"/>
              </a:solidFill>
              <a:prstDash val="solid"/>
            </a:ln>
          </c:spPr>
          <c:marker>
            <c:symbol val="square"/>
            <c:size val="5"/>
            <c:spPr>
              <a:solidFill>
                <a:srgbClr val="F20884"/>
              </a:solidFill>
              <a:ln>
                <a:solidFill>
                  <a:srgbClr val="F20884"/>
                </a:solidFill>
                <a:prstDash val="solid"/>
              </a:ln>
              <a:effectLst>
                <a:outerShdw dist="35921" dir="2700000" algn="br">
                  <a:srgbClr val="000000"/>
                </a:outerShdw>
              </a:effectLst>
            </c:spPr>
          </c:marker>
          <c:val>
            <c:numRef>
              <c:f>'Sprint 1'!$F$26:$S$26</c:f>
              <c:numCache>
                <c:formatCode>0.0</c:formatCode>
                <c:ptCount val="14"/>
                <c:pt idx="0">
                  <c:v>104</c:v>
                </c:pt>
                <c:pt idx="1">
                  <c:v>96.571428571428569</c:v>
                </c:pt>
                <c:pt idx="2">
                  <c:v>89.142857142857139</c:v>
                </c:pt>
                <c:pt idx="3">
                  <c:v>81.714285714285708</c:v>
                </c:pt>
                <c:pt idx="4">
                  <c:v>74.285714285714278</c:v>
                </c:pt>
                <c:pt idx="5">
                  <c:v>66.857142857142847</c:v>
                </c:pt>
                <c:pt idx="6">
                  <c:v>59.428571428571416</c:v>
                </c:pt>
                <c:pt idx="7">
                  <c:v>51.999999999999986</c:v>
                </c:pt>
                <c:pt idx="8">
                  <c:v>44.571428571428555</c:v>
                </c:pt>
                <c:pt idx="9">
                  <c:v>37.142857142857125</c:v>
                </c:pt>
                <c:pt idx="10">
                  <c:v>29.714285714285694</c:v>
                </c:pt>
                <c:pt idx="11">
                  <c:v>22.285714285714263</c:v>
                </c:pt>
                <c:pt idx="12">
                  <c:v>14.857142857142835</c:v>
                </c:pt>
                <c:pt idx="13">
                  <c:v>7.4285714285714057</c:v>
                </c:pt>
              </c:numCache>
            </c:numRef>
          </c:val>
          <c:smooth val="1"/>
          <c:extLst>
            <c:ext xmlns:c16="http://schemas.microsoft.com/office/drawing/2014/chart" uri="{C3380CC4-5D6E-409C-BE32-E72D297353CC}">
              <c16:uniqueId val="{00000001-55A1-4C18-A971-9C38F0E96954}"/>
            </c:ext>
          </c:extLst>
        </c:ser>
        <c:dLbls>
          <c:showLegendKey val="0"/>
          <c:showVal val="0"/>
          <c:showCatName val="0"/>
          <c:showSerName val="0"/>
          <c:showPercent val="0"/>
          <c:showBubbleSize val="0"/>
        </c:dLbls>
        <c:marker val="1"/>
        <c:smooth val="0"/>
        <c:axId val="228933120"/>
        <c:axId val="646860736"/>
      </c:lineChart>
      <c:catAx>
        <c:axId val="228933120"/>
        <c:scaling>
          <c:orientation val="minMax"/>
        </c:scaling>
        <c:delete val="0"/>
        <c:axPos val="b"/>
        <c:title>
          <c:tx>
            <c:rich>
              <a:bodyPr/>
              <a:lstStyle/>
              <a:p>
                <a:pPr>
                  <a:defRPr sz="1125" b="1" i="0" u="none" strike="noStrike" baseline="0">
                    <a:solidFill>
                      <a:srgbClr val="000000"/>
                    </a:solidFill>
                    <a:latin typeface="Arial"/>
                    <a:ea typeface="Arial"/>
                    <a:cs typeface="Arial"/>
                  </a:defRPr>
                </a:pPr>
                <a:r>
                  <a:rPr lang="en-US"/>
                  <a:t>Days</a:t>
                </a:r>
              </a:p>
            </c:rich>
          </c:tx>
          <c:layout>
            <c:manualLayout>
              <c:xMode val="edge"/>
              <c:yMode val="edge"/>
              <c:x val="0.51358724822318558"/>
              <c:y val="0.9142101681734228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646860736"/>
        <c:crosses val="autoZero"/>
        <c:auto val="0"/>
        <c:lblAlgn val="ctr"/>
        <c:lblOffset val="100"/>
        <c:tickLblSkip val="1"/>
        <c:tickMarkSkip val="1"/>
        <c:noMultiLvlLbl val="0"/>
      </c:catAx>
      <c:valAx>
        <c:axId val="646860736"/>
        <c:scaling>
          <c:orientation val="minMax"/>
        </c:scaling>
        <c:delete val="0"/>
        <c:axPos val="l"/>
        <c:title>
          <c:tx>
            <c:rich>
              <a:bodyPr/>
              <a:lstStyle/>
              <a:p>
                <a:pPr>
                  <a:defRPr sz="1125" b="1" i="0" u="none" strike="noStrike" baseline="0">
                    <a:solidFill>
                      <a:srgbClr val="000000"/>
                    </a:solidFill>
                    <a:latin typeface="Arial"/>
                    <a:ea typeface="Arial"/>
                    <a:cs typeface="Arial"/>
                  </a:defRPr>
                </a:pPr>
                <a:r>
                  <a:rPr lang="en-US"/>
                  <a:t>Remaining Scrum units</a:t>
                </a:r>
              </a:p>
            </c:rich>
          </c:tx>
          <c:layout>
            <c:manualLayout>
              <c:xMode val="edge"/>
              <c:yMode val="edge"/>
              <c:x val="2.4456486478516028E-2"/>
              <c:y val="0.2815017567248538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228933120"/>
        <c:crosses val="autoZero"/>
        <c:crossBetween val="between"/>
      </c:valAx>
      <c:spPr>
        <a:gradFill rotWithShape="0">
          <a:gsLst>
            <a:gs pos="0">
              <a:srgbClr val="FFFFEF"/>
            </a:gs>
            <a:gs pos="100000">
              <a:srgbClr val="FFFF99"/>
            </a:gs>
          </a:gsLst>
          <a:lin ang="5400000" scaled="1"/>
        </a:gradFill>
        <a:ln w="3175">
          <a:solidFill>
            <a:srgbClr val="000000"/>
          </a:solidFill>
          <a:prstDash val="solid"/>
        </a:ln>
      </c:spPr>
    </c:plotArea>
    <c:legend>
      <c:legendPos val="r"/>
      <c:layout>
        <c:manualLayout>
          <c:xMode val="edge"/>
          <c:yMode val="edge"/>
          <c:x val="0.80380527525950052"/>
          <c:y val="0.30481273174186557"/>
          <c:w val="0.13580642307352031"/>
          <c:h val="0.17067033287505728"/>
        </c:manualLayout>
      </c:layout>
      <c:overlay val="0"/>
      <c:spPr>
        <a:solidFill>
          <a:srgbClr val="FFFFFF"/>
        </a:solidFill>
        <a:ln w="3175">
          <a:solidFill>
            <a:srgbClr val="000000"/>
          </a:solidFill>
          <a:prstDash val="solid"/>
        </a:ln>
      </c:spPr>
      <c:txPr>
        <a:bodyPr/>
        <a:lstStyle/>
        <a:p>
          <a:pPr>
            <a:defRPr sz="10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1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Burndown Chart </a:t>
            </a:r>
          </a:p>
        </c:rich>
      </c:tx>
      <c:layout>
        <c:manualLayout>
          <c:xMode val="edge"/>
          <c:yMode val="edge"/>
          <c:x val="0.40353269043616735"/>
          <c:y val="4.2895471399408407E-2"/>
        </c:manualLayout>
      </c:layout>
      <c:overlay val="0"/>
      <c:spPr>
        <a:noFill/>
        <a:ln w="25400">
          <a:noFill/>
        </a:ln>
      </c:spPr>
    </c:title>
    <c:autoTitleDeleted val="0"/>
    <c:plotArea>
      <c:layout>
        <c:manualLayout>
          <c:layoutTarget val="inner"/>
          <c:xMode val="edge"/>
          <c:yMode val="edge"/>
          <c:x val="0.10375100372727382"/>
          <c:y val="0.16895841228402597"/>
          <c:w val="0.88043536671206712"/>
          <c:h val="0.66219925828279247"/>
        </c:manualLayout>
      </c:layout>
      <c:lineChart>
        <c:grouping val="standard"/>
        <c:varyColors val="0"/>
        <c:ser>
          <c:idx val="0"/>
          <c:order val="0"/>
          <c:spPr>
            <a:ln w="12700">
              <a:solidFill>
                <a:srgbClr val="000090"/>
              </a:solidFill>
              <a:prstDash val="solid"/>
            </a:ln>
          </c:spPr>
          <c:marker>
            <c:symbol val="diamond"/>
            <c:size val="5"/>
            <c:spPr>
              <a:solidFill>
                <a:srgbClr val="000090"/>
              </a:solidFill>
              <a:ln>
                <a:solidFill>
                  <a:srgbClr val="000090"/>
                </a:solidFill>
                <a:prstDash val="solid"/>
              </a:ln>
            </c:spPr>
          </c:marker>
          <c:dLbls>
            <c:spPr>
              <a:noFill/>
              <a:ln w="25400">
                <a:noFill/>
              </a:ln>
            </c:spPr>
            <c:txPr>
              <a:bodyPr wrap="square" lIns="38100" tIns="19050" rIns="38100" bIns="19050" anchor="ctr">
                <a:spAutoFit/>
              </a:bodyPr>
              <a:lstStyle/>
              <a:p>
                <a:pPr>
                  <a:defRPr sz="1125"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'Sprint 2'!$F$21:$S$21</c:f>
              <c:numCache>
                <c:formatCode>General</c:formatCode>
                <c:ptCount val="14"/>
                <c:pt idx="0">
                  <c:v>84</c:v>
                </c:pt>
                <c:pt idx="1">
                  <c:v>83</c:v>
                </c:pt>
                <c:pt idx="2">
                  <c:v>79</c:v>
                </c:pt>
                <c:pt idx="3">
                  <c:v>72</c:v>
                </c:pt>
                <c:pt idx="4">
                  <c:v>65</c:v>
                </c:pt>
                <c:pt idx="5">
                  <c:v>54</c:v>
                </c:pt>
                <c:pt idx="6">
                  <c:v>49</c:v>
                </c:pt>
                <c:pt idx="7">
                  <c:v>42</c:v>
                </c:pt>
                <c:pt idx="8">
                  <c:v>31</c:v>
                </c:pt>
                <c:pt idx="9">
                  <c:v>20</c:v>
                </c:pt>
                <c:pt idx="10">
                  <c:v>10</c:v>
                </c:pt>
                <c:pt idx="11">
                  <c:v>4</c:v>
                </c:pt>
                <c:pt idx="12">
                  <c:v>0</c:v>
                </c:pt>
                <c:pt idx="13">
                  <c:v>0</c:v>
                </c:pt>
              </c:numCache>
            </c:numRef>
          </c:val>
          <c:smooth val="1"/>
          <c:extLst>
            <c:ext xmlns:c16="http://schemas.microsoft.com/office/drawing/2014/chart" uri="{C3380CC4-5D6E-409C-BE32-E72D297353CC}">
              <c16:uniqueId val="{00000000-CB71-4A42-A3C9-73AA942ED07A}"/>
            </c:ext>
          </c:extLst>
        </c:ser>
        <c:ser>
          <c:idx val="1"/>
          <c:order val="1"/>
          <c:spPr>
            <a:ln w="12700">
              <a:solidFill>
                <a:srgbClr val="F20884"/>
              </a:solidFill>
              <a:prstDash val="solid"/>
            </a:ln>
          </c:spPr>
          <c:marker>
            <c:symbol val="square"/>
            <c:size val="5"/>
            <c:spPr>
              <a:solidFill>
                <a:srgbClr val="F20884"/>
              </a:solidFill>
              <a:ln>
                <a:solidFill>
                  <a:srgbClr val="F20884"/>
                </a:solidFill>
                <a:prstDash val="solid"/>
              </a:ln>
              <a:effectLst>
                <a:outerShdw dist="35921" dir="2700000" algn="br">
                  <a:srgbClr val="000000"/>
                </a:outerShdw>
              </a:effectLst>
            </c:spPr>
          </c:marker>
          <c:val>
            <c:numRef>
              <c:f>'Sprint 2'!$F$22:$S$22</c:f>
              <c:numCache>
                <c:formatCode>0.0</c:formatCode>
                <c:ptCount val="14"/>
                <c:pt idx="0">
                  <c:v>84</c:v>
                </c:pt>
                <c:pt idx="1">
                  <c:v>78</c:v>
                </c:pt>
                <c:pt idx="2">
                  <c:v>72</c:v>
                </c:pt>
                <c:pt idx="3">
                  <c:v>66</c:v>
                </c:pt>
                <c:pt idx="4">
                  <c:v>60</c:v>
                </c:pt>
                <c:pt idx="5">
                  <c:v>54</c:v>
                </c:pt>
                <c:pt idx="6">
                  <c:v>48</c:v>
                </c:pt>
                <c:pt idx="7">
                  <c:v>42</c:v>
                </c:pt>
                <c:pt idx="8">
                  <c:v>36</c:v>
                </c:pt>
                <c:pt idx="9">
                  <c:v>30</c:v>
                </c:pt>
                <c:pt idx="10">
                  <c:v>24</c:v>
                </c:pt>
                <c:pt idx="11">
                  <c:v>18</c:v>
                </c:pt>
                <c:pt idx="12">
                  <c:v>12</c:v>
                </c:pt>
                <c:pt idx="13">
                  <c:v>6</c:v>
                </c:pt>
              </c:numCache>
            </c:numRef>
          </c:val>
          <c:smooth val="1"/>
          <c:extLst>
            <c:ext xmlns:c16="http://schemas.microsoft.com/office/drawing/2014/chart" uri="{C3380CC4-5D6E-409C-BE32-E72D297353CC}">
              <c16:uniqueId val="{00000001-CB71-4A42-A3C9-73AA942ED07A}"/>
            </c:ext>
          </c:extLst>
        </c:ser>
        <c:dLbls>
          <c:showLegendKey val="0"/>
          <c:showVal val="0"/>
          <c:showCatName val="0"/>
          <c:showSerName val="0"/>
          <c:showPercent val="0"/>
          <c:showBubbleSize val="0"/>
        </c:dLbls>
        <c:marker val="1"/>
        <c:smooth val="0"/>
        <c:axId val="228933120"/>
        <c:axId val="646860736"/>
      </c:lineChart>
      <c:catAx>
        <c:axId val="228933120"/>
        <c:scaling>
          <c:orientation val="minMax"/>
        </c:scaling>
        <c:delete val="0"/>
        <c:axPos val="b"/>
        <c:title>
          <c:tx>
            <c:rich>
              <a:bodyPr/>
              <a:lstStyle/>
              <a:p>
                <a:pPr>
                  <a:defRPr sz="1125" b="1" i="0" u="none" strike="noStrike" baseline="0">
                    <a:solidFill>
                      <a:srgbClr val="000000"/>
                    </a:solidFill>
                    <a:latin typeface="Arial"/>
                    <a:ea typeface="Arial"/>
                    <a:cs typeface="Arial"/>
                  </a:defRPr>
                </a:pPr>
                <a:r>
                  <a:rPr lang="en-US"/>
                  <a:t>Days</a:t>
                </a:r>
              </a:p>
            </c:rich>
          </c:tx>
          <c:layout>
            <c:manualLayout>
              <c:xMode val="edge"/>
              <c:yMode val="edge"/>
              <c:x val="0.51358724822318558"/>
              <c:y val="0.9142101681734228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646860736"/>
        <c:crosses val="autoZero"/>
        <c:auto val="0"/>
        <c:lblAlgn val="ctr"/>
        <c:lblOffset val="100"/>
        <c:tickLblSkip val="1"/>
        <c:tickMarkSkip val="1"/>
        <c:noMultiLvlLbl val="0"/>
      </c:catAx>
      <c:valAx>
        <c:axId val="646860736"/>
        <c:scaling>
          <c:orientation val="minMax"/>
        </c:scaling>
        <c:delete val="0"/>
        <c:axPos val="l"/>
        <c:title>
          <c:tx>
            <c:rich>
              <a:bodyPr/>
              <a:lstStyle/>
              <a:p>
                <a:pPr>
                  <a:defRPr sz="1125" b="1" i="0" u="none" strike="noStrike" baseline="0">
                    <a:solidFill>
                      <a:srgbClr val="000000"/>
                    </a:solidFill>
                    <a:latin typeface="Arial"/>
                    <a:ea typeface="Arial"/>
                    <a:cs typeface="Arial"/>
                  </a:defRPr>
                </a:pPr>
                <a:r>
                  <a:rPr lang="en-US"/>
                  <a:t>Remaining Scrum units</a:t>
                </a:r>
              </a:p>
            </c:rich>
          </c:tx>
          <c:layout>
            <c:manualLayout>
              <c:xMode val="edge"/>
              <c:yMode val="edge"/>
              <c:x val="2.4456486478516028E-2"/>
              <c:y val="0.2815017567248538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228933120"/>
        <c:crosses val="autoZero"/>
        <c:crossBetween val="between"/>
      </c:valAx>
      <c:spPr>
        <a:gradFill rotWithShape="0">
          <a:gsLst>
            <a:gs pos="0">
              <a:srgbClr val="FFFFEF"/>
            </a:gs>
            <a:gs pos="100000">
              <a:srgbClr val="FFFF99"/>
            </a:gs>
          </a:gsLst>
          <a:lin ang="5400000" scaled="1"/>
        </a:gradFill>
        <a:ln w="3175">
          <a:solidFill>
            <a:srgbClr val="000000"/>
          </a:solidFill>
          <a:prstDash val="solid"/>
        </a:ln>
      </c:spPr>
    </c:plotArea>
    <c:legend>
      <c:legendPos val="r"/>
      <c:layout>
        <c:manualLayout>
          <c:xMode val="edge"/>
          <c:yMode val="edge"/>
          <c:x val="0.80380527525950052"/>
          <c:y val="0.30481273174186557"/>
          <c:w val="0.13580642307352031"/>
          <c:h val="0.17067033287505728"/>
        </c:manualLayout>
      </c:layout>
      <c:overlay val="0"/>
      <c:spPr>
        <a:solidFill>
          <a:srgbClr val="FFFFFF"/>
        </a:solidFill>
        <a:ln w="3175">
          <a:solidFill>
            <a:srgbClr val="000000"/>
          </a:solidFill>
          <a:prstDash val="solid"/>
        </a:ln>
      </c:spPr>
      <c:txPr>
        <a:bodyPr/>
        <a:lstStyle/>
        <a:p>
          <a:pPr>
            <a:defRPr sz="10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1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creativecommons.org/licenses/by-sa/3.0/"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66675</xdr:colOff>
      <xdr:row>18</xdr:row>
      <xdr:rowOff>95250</xdr:rowOff>
    </xdr:from>
    <xdr:to>
      <xdr:col>1</xdr:col>
      <xdr:colOff>895350</xdr:colOff>
      <xdr:row>20</xdr:row>
      <xdr:rowOff>66675</xdr:rowOff>
    </xdr:to>
    <xdr:pic>
      <xdr:nvPicPr>
        <xdr:cNvPr id="2126" name="Picture 2">
          <a:hlinkClick xmlns:r="http://schemas.openxmlformats.org/officeDocument/2006/relationships" r:id="rId1"/>
          <a:extLst>
            <a:ext uri="{FF2B5EF4-FFF2-40B4-BE49-F238E27FC236}">
              <a16:creationId xmlns:a16="http://schemas.microsoft.com/office/drawing/2014/main" id="{00000000-0008-0000-0000-00004E08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14600" y="3514725"/>
          <a:ext cx="8286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1000125</xdr:colOff>
      <xdr:row>28</xdr:row>
      <xdr:rowOff>9525</xdr:rowOff>
    </xdr:from>
    <xdr:to>
      <xdr:col>19</xdr:col>
      <xdr:colOff>152400</xdr:colOff>
      <xdr:row>51</xdr:row>
      <xdr:rowOff>47625</xdr:rowOff>
    </xdr:to>
    <xdr:graphicFrame macro="">
      <xdr:nvGraphicFramePr>
        <xdr:cNvPr id="2" name="Chart 14">
          <a:extLst>
            <a:ext uri="{FF2B5EF4-FFF2-40B4-BE49-F238E27FC236}">
              <a16:creationId xmlns:a16="http://schemas.microsoft.com/office/drawing/2014/main" id="{3CF0BCF1-74B1-4046-A36A-C9C6440DE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857250</xdr:colOff>
      <xdr:row>23</xdr:row>
      <xdr:rowOff>0</xdr:rowOff>
    </xdr:from>
    <xdr:to>
      <xdr:col>19</xdr:col>
      <xdr:colOff>9525</xdr:colOff>
      <xdr:row>45</xdr:row>
      <xdr:rowOff>38100</xdr:rowOff>
    </xdr:to>
    <xdr:graphicFrame macro="">
      <xdr:nvGraphicFramePr>
        <xdr:cNvPr id="2" name="Chart 14">
          <a:extLst>
            <a:ext uri="{FF2B5EF4-FFF2-40B4-BE49-F238E27FC236}">
              <a16:creationId xmlns:a16="http://schemas.microsoft.com/office/drawing/2014/main" id="{042BE9ED-0A1B-4A3C-A2D7-1DB086E07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0:G25" totalsRowShown="0" headerRowDxfId="14" dataDxfId="12" headerRowBorderDxfId="13" tableBorderDxfId="11">
  <autoFilter ref="A10:G25" xr:uid="{00000000-0009-0000-0100-000001000000}"/>
  <sortState xmlns:xlrd2="http://schemas.microsoft.com/office/spreadsheetml/2017/richdata2" ref="A11:F19">
    <sortCondition ref="F10:F19"/>
  </sortState>
  <tableColumns count="7">
    <tableColumn id="1" xr3:uid="{00000000-0010-0000-0000-000001000000}" name=" Story ID" dataDxfId="10"/>
    <tableColumn id="2" xr3:uid="{00000000-0010-0000-0000-000002000000}" name="Title" dataDxfId="9"/>
    <tableColumn id="3" xr3:uid="{00000000-0010-0000-0000-000003000000}" name="Description" dataDxfId="8"/>
    <tableColumn id="4" xr3:uid="{00000000-0010-0000-0000-000004000000}" name="s" dataDxfId="7"/>
    <tableColumn id="5" xr3:uid="{00000000-0010-0000-0000-000005000000}" name="Priority #" dataDxfId="6"/>
    <tableColumn id="6" xr3:uid="{00000000-0010-0000-0000-000006000000}" name="Sprint #" dataDxfId="5"/>
    <tableColumn id="7" xr3:uid="{00000000-0010-0000-0000-000007000000}" name="Responsibility" dataDxfId="4"/>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D35"/>
  <sheetViews>
    <sheetView workbookViewId="0">
      <selection activeCell="A2" sqref="A2:B2"/>
    </sheetView>
  </sheetViews>
  <sheetFormatPr defaultColWidth="11.42578125" defaultRowHeight="12.75" x14ac:dyDescent="0.2"/>
  <cols>
    <col min="1" max="1" width="36.7109375" style="16" customWidth="1"/>
    <col min="2" max="2" width="114.85546875" style="1" customWidth="1"/>
    <col min="3" max="16384" width="11.42578125" style="1"/>
  </cols>
  <sheetData>
    <row r="2" spans="1:4" s="13" customFormat="1" ht="39.75" customHeight="1" x14ac:dyDescent="0.2">
      <c r="A2" s="101" t="s">
        <v>0</v>
      </c>
      <c r="B2" s="102"/>
      <c r="C2" s="34"/>
      <c r="D2" s="34"/>
    </row>
    <row r="3" spans="1:4" x14ac:dyDescent="0.2">
      <c r="A3" s="35"/>
      <c r="B3" s="34"/>
      <c r="C3" s="36"/>
      <c r="D3" s="36"/>
    </row>
    <row r="4" spans="1:4" s="15" customFormat="1" x14ac:dyDescent="0.2">
      <c r="A4" s="35"/>
      <c r="B4" s="37"/>
      <c r="C4" s="37"/>
      <c r="D4" s="37"/>
    </row>
    <row r="5" spans="1:4" s="15" customFormat="1" x14ac:dyDescent="0.2">
      <c r="A5" s="35"/>
      <c r="B5" s="37"/>
      <c r="C5" s="37"/>
      <c r="D5" s="37"/>
    </row>
    <row r="6" spans="1:4" s="14" customFormat="1" x14ac:dyDescent="0.2">
      <c r="A6" s="35" t="s">
        <v>1</v>
      </c>
      <c r="B6" s="36" t="s">
        <v>2</v>
      </c>
      <c r="C6" s="36"/>
      <c r="D6" s="36"/>
    </row>
    <row r="7" spans="1:4" s="15" customFormat="1" x14ac:dyDescent="0.2">
      <c r="A7" s="35"/>
      <c r="B7" s="37"/>
      <c r="C7" s="37"/>
      <c r="D7" s="37"/>
    </row>
    <row r="8" spans="1:4" s="15" customFormat="1" x14ac:dyDescent="0.2">
      <c r="A8" s="35"/>
      <c r="B8" s="38"/>
      <c r="C8" s="37"/>
      <c r="D8" s="37"/>
    </row>
    <row r="9" spans="1:4" s="14" customFormat="1" x14ac:dyDescent="0.2">
      <c r="A9" s="39"/>
      <c r="B9" s="38"/>
      <c r="C9" s="36"/>
      <c r="D9" s="36"/>
    </row>
    <row r="10" spans="1:4" s="15" customFormat="1" x14ac:dyDescent="0.2">
      <c r="A10" s="35"/>
      <c r="B10" s="37"/>
      <c r="C10" s="37"/>
      <c r="D10" s="37"/>
    </row>
    <row r="11" spans="1:4" s="14" customFormat="1" x14ac:dyDescent="0.2">
      <c r="A11" s="35" t="s">
        <v>3</v>
      </c>
      <c r="B11" s="40" t="s">
        <v>4</v>
      </c>
      <c r="C11" s="36"/>
      <c r="D11" s="36"/>
    </row>
    <row r="12" spans="1:4" x14ac:dyDescent="0.2">
      <c r="A12" s="35"/>
      <c r="B12" s="40" t="s">
        <v>5</v>
      </c>
      <c r="C12" s="36"/>
      <c r="D12" s="36"/>
    </row>
    <row r="13" spans="1:4" x14ac:dyDescent="0.2">
      <c r="A13" s="35"/>
      <c r="B13" s="40"/>
      <c r="C13" s="36"/>
      <c r="D13" s="36"/>
    </row>
    <row r="14" spans="1:4" x14ac:dyDescent="0.2">
      <c r="A14" s="35"/>
      <c r="B14" s="36"/>
      <c r="C14" s="36"/>
      <c r="D14" s="36"/>
    </row>
    <row r="15" spans="1:4" x14ac:dyDescent="0.2">
      <c r="A15" s="35" t="s">
        <v>6</v>
      </c>
      <c r="B15" s="41" t="s">
        <v>7</v>
      </c>
      <c r="C15" s="36"/>
      <c r="D15" s="36"/>
    </row>
    <row r="16" spans="1:4" x14ac:dyDescent="0.2">
      <c r="A16" s="35"/>
      <c r="B16" s="36" t="s">
        <v>8</v>
      </c>
      <c r="C16" s="36"/>
      <c r="D16" s="36"/>
    </row>
    <row r="17" spans="1:4" s="14" customFormat="1" x14ac:dyDescent="0.2">
      <c r="A17" s="35"/>
      <c r="B17" s="36"/>
      <c r="C17" s="36"/>
      <c r="D17" s="36"/>
    </row>
    <row r="18" spans="1:4" s="15" customFormat="1" x14ac:dyDescent="0.2">
      <c r="A18" s="35" t="s">
        <v>9</v>
      </c>
      <c r="B18" s="42" t="s">
        <v>10</v>
      </c>
      <c r="C18" s="37"/>
      <c r="D18" s="37"/>
    </row>
    <row r="19" spans="1:4" x14ac:dyDescent="0.2">
      <c r="A19" s="35"/>
      <c r="B19" s="36"/>
      <c r="C19" s="36"/>
      <c r="D19" s="36"/>
    </row>
    <row r="20" spans="1:4" x14ac:dyDescent="0.2">
      <c r="A20" s="35"/>
      <c r="B20" s="36"/>
      <c r="C20" s="36"/>
      <c r="D20" s="36"/>
    </row>
    <row r="21" spans="1:4" x14ac:dyDescent="0.2">
      <c r="A21" s="35"/>
      <c r="B21" s="36"/>
      <c r="C21" s="36"/>
      <c r="D21" s="36"/>
    </row>
    <row r="22" spans="1:4" x14ac:dyDescent="0.2">
      <c r="A22" s="35"/>
      <c r="B22" s="36"/>
      <c r="C22" s="36"/>
      <c r="D22" s="36"/>
    </row>
    <row r="23" spans="1:4" x14ac:dyDescent="0.2">
      <c r="A23" s="35" t="s">
        <v>11</v>
      </c>
      <c r="B23" s="36" t="s">
        <v>12</v>
      </c>
      <c r="C23" s="36"/>
      <c r="D23" s="36"/>
    </row>
    <row r="24" spans="1:4" x14ac:dyDescent="0.2">
      <c r="A24" s="35"/>
      <c r="B24" s="38"/>
      <c r="C24" s="36"/>
      <c r="D24" s="36"/>
    </row>
    <row r="31" spans="1:4" x14ac:dyDescent="0.2">
      <c r="A31" s="1"/>
    </row>
    <row r="32" spans="1:4" x14ac:dyDescent="0.2">
      <c r="A32" s="1"/>
    </row>
    <row r="33" spans="1:1" x14ac:dyDescent="0.2">
      <c r="A33" s="1"/>
    </row>
    <row r="34" spans="1:1" x14ac:dyDescent="0.2">
      <c r="A34" s="1"/>
    </row>
    <row r="35" spans="1:1" x14ac:dyDescent="0.2">
      <c r="A35" s="1"/>
    </row>
  </sheetData>
  <customSheetViews>
    <customSheetView guid="{F117AA09-D9DE-4D2E-A2DF-77AB3D7617C3}">
      <selection activeCell="B15" sqref="B15"/>
      <pageMargins left="0" right="0" top="0" bottom="0" header="0" footer="0"/>
      <pageSetup orientation="portrait"/>
      <headerFooter alignWithMargins="0"/>
    </customSheetView>
    <customSheetView guid="{AF9CDD9E-3CB3-EE48-8887-F1090B6AE042}" topLeftCell="A7">
      <selection activeCell="B12" sqref="B12"/>
      <pageMargins left="0" right="0" top="0" bottom="0" header="0" footer="0"/>
      <pageSetup orientation="portrait"/>
      <headerFooter alignWithMargins="0"/>
    </customSheetView>
    <customSheetView guid="{988818D5-2AEF-4A9A-A55E-18240173EC63}" topLeftCell="A7">
      <selection activeCell="B12" sqref="B12"/>
      <pageMargins left="0" right="0" top="0" bottom="0" header="0" footer="0"/>
      <pageSetup orientation="portrait"/>
      <headerFooter alignWithMargins="0"/>
    </customSheetView>
  </customSheetViews>
  <mergeCells count="1">
    <mergeCell ref="A2:B2"/>
  </mergeCells>
  <phoneticPr fontId="4" type="noConversion"/>
  <pageMargins left="0.75" right="0.75" top="1" bottom="1" header="0.5" footer="0.5"/>
  <pageSetup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EC29"/>
  <sheetViews>
    <sheetView zoomScaleNormal="100" workbookViewId="0">
      <selection activeCell="D10" sqref="D10"/>
    </sheetView>
  </sheetViews>
  <sheetFormatPr defaultColWidth="11.42578125" defaultRowHeight="15.75" x14ac:dyDescent="0.25"/>
  <cols>
    <col min="1" max="1" width="15.28515625" style="44" customWidth="1"/>
    <col min="2" max="2" width="39.28515625" style="43" bestFit="1" customWidth="1"/>
    <col min="3" max="3" width="66.7109375" style="43" customWidth="1"/>
    <col min="4" max="4" width="85.7109375" style="43" customWidth="1"/>
    <col min="5" max="5" width="13.28515625" style="44" customWidth="1"/>
    <col min="6" max="6" width="13.28515625" style="43" customWidth="1"/>
    <col min="7" max="7" width="22.85546875" style="43" customWidth="1"/>
    <col min="8" max="16384" width="11.42578125" style="43"/>
  </cols>
  <sheetData>
    <row r="2" spans="1:133" x14ac:dyDescent="0.25">
      <c r="A2" s="99" t="s">
        <v>13</v>
      </c>
      <c r="B2" s="100"/>
      <c r="C2" s="100"/>
      <c r="D2" s="100"/>
      <c r="E2" s="100"/>
      <c r="F2" s="100"/>
    </row>
    <row r="3" spans="1:133" x14ac:dyDescent="0.25">
      <c r="D3" s="44"/>
    </row>
    <row r="4" spans="1:133" x14ac:dyDescent="0.25">
      <c r="B4" s="48" t="s">
        <v>14</v>
      </c>
      <c r="C4" s="49" t="s">
        <v>15</v>
      </c>
      <c r="D4" s="44"/>
    </row>
    <row r="5" spans="1:133" x14ac:dyDescent="0.25">
      <c r="B5" s="48" t="s">
        <v>16</v>
      </c>
      <c r="C5" s="49" t="s">
        <v>17</v>
      </c>
      <c r="D5" s="44"/>
    </row>
    <row r="6" spans="1:133" x14ac:dyDescent="0.25">
      <c r="B6" s="48" t="s">
        <v>18</v>
      </c>
      <c r="C6" s="49" t="s">
        <v>19</v>
      </c>
      <c r="D6" s="44"/>
    </row>
    <row r="7" spans="1:133" x14ac:dyDescent="0.25">
      <c r="B7" s="48" t="s">
        <v>20</v>
      </c>
      <c r="C7" s="49" t="s">
        <v>21</v>
      </c>
      <c r="D7" s="44"/>
    </row>
    <row r="8" spans="1:133" x14ac:dyDescent="0.25">
      <c r="B8" s="48" t="s">
        <v>22</v>
      </c>
      <c r="C8" s="49" t="s">
        <v>23</v>
      </c>
      <c r="D8" s="44"/>
    </row>
    <row r="9" spans="1:133" x14ac:dyDescent="0.25">
      <c r="D9" s="44"/>
    </row>
    <row r="10" spans="1:133" s="45" customFormat="1" x14ac:dyDescent="0.2">
      <c r="A10" s="46" t="s">
        <v>24</v>
      </c>
      <c r="B10" s="47" t="s">
        <v>25</v>
      </c>
      <c r="C10" s="47" t="s">
        <v>26</v>
      </c>
      <c r="D10" s="47" t="s">
        <v>27</v>
      </c>
      <c r="E10" s="47" t="s">
        <v>28</v>
      </c>
      <c r="F10" s="47" t="s">
        <v>29</v>
      </c>
      <c r="G10" s="98" t="s">
        <v>30</v>
      </c>
    </row>
    <row r="11" spans="1:133" s="49" customFormat="1" ht="126" x14ac:dyDescent="0.2">
      <c r="A11" s="49" t="s">
        <v>31</v>
      </c>
      <c r="B11" s="49" t="s">
        <v>32</v>
      </c>
      <c r="C11" s="60" t="s">
        <v>33</v>
      </c>
      <c r="D11" s="60" t="s">
        <v>34</v>
      </c>
      <c r="E11" s="49">
        <v>1</v>
      </c>
      <c r="F11" s="49">
        <v>1</v>
      </c>
      <c r="G11" s="49" t="s">
        <v>22</v>
      </c>
      <c r="H11" s="59"/>
      <c r="I11" s="59"/>
      <c r="J11" s="59"/>
      <c r="K11" s="59"/>
      <c r="L11" s="59"/>
      <c r="M11" s="59"/>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c r="BC11" s="59"/>
      <c r="BD11" s="59"/>
      <c r="BE11" s="59"/>
      <c r="BF11" s="59"/>
      <c r="BG11" s="59"/>
      <c r="BH11" s="59"/>
      <c r="BI11" s="59"/>
      <c r="BJ11" s="59"/>
      <c r="BK11" s="59"/>
      <c r="BL11" s="59"/>
      <c r="BM11" s="59"/>
      <c r="BN11" s="59"/>
      <c r="BO11" s="59"/>
      <c r="BP11" s="59"/>
      <c r="BQ11" s="59"/>
      <c r="BR11" s="59"/>
      <c r="BS11" s="59"/>
      <c r="BT11" s="59"/>
      <c r="BU11" s="59"/>
      <c r="BV11" s="59"/>
      <c r="BW11" s="59"/>
      <c r="BX11" s="59"/>
      <c r="BY11" s="59"/>
      <c r="BZ11" s="59"/>
      <c r="CA11" s="59"/>
      <c r="CB11" s="59"/>
      <c r="CC11" s="59"/>
      <c r="CD11" s="59"/>
      <c r="CE11" s="59"/>
      <c r="CF11" s="59"/>
      <c r="CG11" s="59"/>
      <c r="CH11" s="59"/>
      <c r="CI11" s="59"/>
      <c r="CJ11" s="59"/>
      <c r="CK11" s="59"/>
      <c r="CL11" s="59"/>
      <c r="CM11" s="59"/>
      <c r="CN11" s="59"/>
      <c r="CO11" s="59"/>
      <c r="CP11" s="59"/>
      <c r="CQ11" s="59"/>
      <c r="CR11" s="59"/>
      <c r="CS11" s="59"/>
      <c r="CT11" s="59"/>
      <c r="CU11" s="59"/>
      <c r="CV11" s="59"/>
      <c r="CW11" s="59"/>
      <c r="CX11" s="59"/>
      <c r="CY11" s="59"/>
      <c r="CZ11" s="59"/>
      <c r="DA11" s="59"/>
      <c r="DB11" s="59"/>
      <c r="DC11" s="59"/>
      <c r="DD11" s="59"/>
      <c r="DE11" s="59"/>
      <c r="DF11" s="59"/>
      <c r="DG11" s="59"/>
      <c r="DH11" s="59"/>
      <c r="DI11" s="59"/>
      <c r="DJ11" s="59"/>
      <c r="DK11" s="59"/>
      <c r="DL11" s="59"/>
      <c r="DM11" s="59"/>
      <c r="DN11" s="59"/>
      <c r="DO11" s="59"/>
      <c r="DP11" s="59"/>
      <c r="DQ11" s="59"/>
      <c r="DR11" s="59"/>
      <c r="DS11" s="59"/>
      <c r="DT11" s="59"/>
      <c r="DU11" s="59"/>
      <c r="DV11" s="59"/>
      <c r="DW11" s="59"/>
      <c r="DX11" s="59"/>
      <c r="DY11" s="59"/>
      <c r="DZ11" s="59"/>
      <c r="EA11" s="59"/>
      <c r="EB11" s="59"/>
      <c r="EC11" s="59"/>
    </row>
    <row r="12" spans="1:133" s="49" customFormat="1" ht="141.75" x14ac:dyDescent="0.2">
      <c r="A12" s="49" t="s">
        <v>35</v>
      </c>
      <c r="B12" s="49" t="s">
        <v>36</v>
      </c>
      <c r="C12" s="60" t="s">
        <v>37</v>
      </c>
      <c r="D12" s="60" t="s">
        <v>38</v>
      </c>
      <c r="E12" s="49">
        <v>1</v>
      </c>
      <c r="F12" s="49">
        <v>1</v>
      </c>
      <c r="G12" s="49" t="s">
        <v>22</v>
      </c>
      <c r="H12" s="59"/>
      <c r="I12" s="59"/>
      <c r="J12" s="59"/>
      <c r="K12" s="59"/>
      <c r="L12" s="59"/>
      <c r="M12" s="59"/>
      <c r="N12" s="59"/>
      <c r="O12" s="59"/>
      <c r="P12" s="59"/>
      <c r="Q12" s="59"/>
      <c r="R12" s="59"/>
      <c r="S12" s="59"/>
      <c r="T12" s="59"/>
      <c r="U12" s="59"/>
      <c r="V12" s="5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59"/>
      <c r="AZ12" s="59"/>
      <c r="BA12" s="59"/>
      <c r="BB12" s="59"/>
      <c r="BC12" s="59"/>
      <c r="BD12" s="59"/>
      <c r="BE12" s="59"/>
      <c r="BF12" s="59"/>
      <c r="BG12" s="59"/>
      <c r="BH12" s="59"/>
      <c r="BI12" s="59"/>
      <c r="BJ12" s="59"/>
      <c r="BK12" s="59"/>
      <c r="BL12" s="59"/>
      <c r="BM12" s="59"/>
      <c r="BN12" s="59"/>
      <c r="BO12" s="59"/>
      <c r="BP12" s="59"/>
      <c r="BQ12" s="59"/>
      <c r="BR12" s="59"/>
      <c r="BS12" s="59"/>
      <c r="BT12" s="59"/>
      <c r="BU12" s="59"/>
      <c r="BV12" s="59"/>
      <c r="BW12" s="59"/>
      <c r="BX12" s="59"/>
      <c r="BY12" s="59"/>
      <c r="BZ12" s="59"/>
      <c r="CA12" s="59"/>
      <c r="CB12" s="59"/>
      <c r="CC12" s="59"/>
      <c r="CD12" s="59"/>
      <c r="CE12" s="59"/>
      <c r="CF12" s="59"/>
      <c r="CG12" s="59"/>
      <c r="CH12" s="59"/>
      <c r="CI12" s="59"/>
      <c r="CJ12" s="59"/>
      <c r="CK12" s="59"/>
      <c r="CL12" s="59"/>
      <c r="CM12" s="59"/>
      <c r="CN12" s="59"/>
      <c r="CO12" s="59"/>
      <c r="CP12" s="59"/>
      <c r="CQ12" s="59"/>
      <c r="CR12" s="59"/>
      <c r="CS12" s="59"/>
      <c r="CT12" s="59"/>
      <c r="CU12" s="59"/>
      <c r="CV12" s="59"/>
      <c r="CW12" s="59"/>
      <c r="CX12" s="59"/>
      <c r="CY12" s="59"/>
      <c r="CZ12" s="59"/>
      <c r="DA12" s="59"/>
      <c r="DB12" s="59"/>
      <c r="DC12" s="59"/>
      <c r="DD12" s="59"/>
      <c r="DE12" s="59"/>
      <c r="DF12" s="59"/>
      <c r="DG12" s="59"/>
      <c r="DH12" s="59"/>
      <c r="DI12" s="59"/>
      <c r="DJ12" s="59"/>
      <c r="DK12" s="59"/>
      <c r="DL12" s="59"/>
      <c r="DM12" s="59"/>
      <c r="DN12" s="59"/>
      <c r="DO12" s="59"/>
      <c r="DP12" s="59"/>
      <c r="DQ12" s="59"/>
      <c r="DR12" s="59"/>
      <c r="DS12" s="59"/>
      <c r="DT12" s="59"/>
      <c r="DU12" s="59"/>
      <c r="DV12" s="59"/>
      <c r="DW12" s="59"/>
      <c r="DX12" s="59"/>
      <c r="DY12" s="59"/>
      <c r="DZ12" s="59"/>
      <c r="EA12" s="59"/>
      <c r="EB12" s="59"/>
      <c r="EC12" s="59"/>
    </row>
    <row r="13" spans="1:133" s="49" customFormat="1" ht="126" x14ac:dyDescent="0.2">
      <c r="A13" s="49" t="s">
        <v>39</v>
      </c>
      <c r="B13" s="49" t="s">
        <v>40</v>
      </c>
      <c r="C13" s="60" t="s">
        <v>41</v>
      </c>
      <c r="D13" s="60" t="s">
        <v>42</v>
      </c>
      <c r="E13" s="49">
        <v>2</v>
      </c>
      <c r="F13" s="49">
        <v>1</v>
      </c>
      <c r="G13" s="49" t="s">
        <v>22</v>
      </c>
      <c r="H13" s="59"/>
      <c r="I13" s="59"/>
      <c r="J13" s="59"/>
      <c r="K13" s="59"/>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59"/>
      <c r="BC13" s="59"/>
      <c r="BD13" s="59"/>
      <c r="BE13" s="59"/>
      <c r="BF13" s="59"/>
      <c r="BG13" s="59"/>
      <c r="BH13" s="59"/>
      <c r="BI13" s="59"/>
      <c r="BJ13" s="59"/>
      <c r="BK13" s="59"/>
      <c r="BL13" s="59"/>
      <c r="BM13" s="59"/>
      <c r="BN13" s="59"/>
      <c r="BO13" s="59"/>
      <c r="BP13" s="59"/>
      <c r="BQ13" s="59"/>
      <c r="BR13" s="59"/>
      <c r="BS13" s="59"/>
      <c r="BT13" s="59"/>
      <c r="BU13" s="59"/>
      <c r="BV13" s="59"/>
      <c r="BW13" s="59"/>
      <c r="BX13" s="59"/>
      <c r="BY13" s="59"/>
      <c r="BZ13" s="59"/>
      <c r="CA13" s="59"/>
      <c r="CB13" s="59"/>
      <c r="CC13" s="59"/>
      <c r="CD13" s="59"/>
      <c r="CE13" s="59"/>
      <c r="CF13" s="59"/>
      <c r="CG13" s="59"/>
      <c r="CH13" s="59"/>
      <c r="CI13" s="59"/>
      <c r="CJ13" s="59"/>
      <c r="CK13" s="59"/>
      <c r="CL13" s="59"/>
      <c r="CM13" s="59"/>
      <c r="CN13" s="59"/>
      <c r="CO13" s="59"/>
      <c r="CP13" s="59"/>
      <c r="CQ13" s="59"/>
      <c r="CR13" s="59"/>
      <c r="CS13" s="59"/>
      <c r="CT13" s="59"/>
      <c r="CU13" s="59"/>
      <c r="CV13" s="59"/>
      <c r="CW13" s="59"/>
      <c r="CX13" s="59"/>
      <c r="CY13" s="59"/>
      <c r="CZ13" s="59"/>
      <c r="DA13" s="59"/>
      <c r="DB13" s="59"/>
      <c r="DC13" s="59"/>
      <c r="DD13" s="59"/>
      <c r="DE13" s="59"/>
      <c r="DF13" s="59"/>
      <c r="DG13" s="59"/>
      <c r="DH13" s="59"/>
      <c r="DI13" s="59"/>
      <c r="DJ13" s="59"/>
      <c r="DK13" s="59"/>
      <c r="DL13" s="59"/>
      <c r="DM13" s="59"/>
      <c r="DN13" s="59"/>
      <c r="DO13" s="59"/>
      <c r="DP13" s="59"/>
      <c r="DQ13" s="59"/>
      <c r="DR13" s="59"/>
      <c r="DS13" s="59"/>
      <c r="DT13" s="59"/>
      <c r="DU13" s="59"/>
      <c r="DV13" s="59"/>
      <c r="DW13" s="59"/>
      <c r="DX13" s="59"/>
      <c r="DY13" s="59"/>
      <c r="DZ13" s="59"/>
      <c r="EA13" s="59"/>
      <c r="EB13" s="59"/>
      <c r="EC13" s="59"/>
    </row>
    <row r="14" spans="1:133" s="49" customFormat="1" ht="141.75" x14ac:dyDescent="0.2">
      <c r="A14" s="49" t="s">
        <v>43</v>
      </c>
      <c r="B14" s="49" t="s">
        <v>44</v>
      </c>
      <c r="C14" s="60" t="s">
        <v>45</v>
      </c>
      <c r="D14" s="60" t="s">
        <v>46</v>
      </c>
      <c r="E14" s="49">
        <v>1</v>
      </c>
      <c r="F14" s="49">
        <v>2</v>
      </c>
      <c r="G14" s="49" t="s">
        <v>22</v>
      </c>
      <c r="H14" s="59"/>
      <c r="I14" s="59"/>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59"/>
      <c r="BE14" s="59"/>
      <c r="BF14" s="59"/>
      <c r="BG14" s="59"/>
      <c r="BH14" s="59"/>
      <c r="BI14" s="59"/>
      <c r="BJ14" s="59"/>
      <c r="BK14" s="59"/>
      <c r="BL14" s="59"/>
      <c r="BM14" s="59"/>
      <c r="BN14" s="59"/>
      <c r="BO14" s="59"/>
      <c r="BP14" s="59"/>
      <c r="BQ14" s="59"/>
      <c r="BR14" s="59"/>
      <c r="BS14" s="59"/>
      <c r="BT14" s="59"/>
      <c r="BU14" s="59"/>
      <c r="BV14" s="59"/>
      <c r="BW14" s="59"/>
      <c r="BX14" s="59"/>
      <c r="BY14" s="59"/>
      <c r="BZ14" s="59"/>
      <c r="CA14" s="59"/>
      <c r="CB14" s="59"/>
      <c r="CC14" s="59"/>
      <c r="CD14" s="59"/>
      <c r="CE14" s="59"/>
      <c r="CF14" s="59"/>
      <c r="CG14" s="59"/>
      <c r="CH14" s="59"/>
      <c r="CI14" s="59"/>
      <c r="CJ14" s="59"/>
      <c r="CK14" s="59"/>
      <c r="CL14" s="59"/>
      <c r="CM14" s="59"/>
      <c r="CN14" s="59"/>
      <c r="CO14" s="59"/>
      <c r="CP14" s="59"/>
      <c r="CQ14" s="59"/>
      <c r="CR14" s="59"/>
      <c r="CS14" s="59"/>
      <c r="CT14" s="59"/>
      <c r="CU14" s="59"/>
      <c r="CV14" s="59"/>
      <c r="CW14" s="59"/>
      <c r="CX14" s="59"/>
      <c r="CY14" s="59"/>
      <c r="CZ14" s="59"/>
      <c r="DA14" s="59"/>
      <c r="DB14" s="59"/>
      <c r="DC14" s="59"/>
      <c r="DD14" s="59"/>
      <c r="DE14" s="59"/>
      <c r="DF14" s="59"/>
      <c r="DG14" s="59"/>
      <c r="DH14" s="59"/>
      <c r="DI14" s="59"/>
      <c r="DJ14" s="59"/>
      <c r="DK14" s="59"/>
      <c r="DL14" s="59"/>
      <c r="DM14" s="59"/>
      <c r="DN14" s="59"/>
      <c r="DO14" s="59"/>
      <c r="DP14" s="59"/>
      <c r="DQ14" s="59"/>
      <c r="DR14" s="59"/>
      <c r="DS14" s="59"/>
      <c r="DT14" s="59"/>
      <c r="DU14" s="59"/>
      <c r="DV14" s="59"/>
      <c r="DW14" s="59"/>
      <c r="DX14" s="59"/>
      <c r="DY14" s="59"/>
      <c r="DZ14" s="59"/>
      <c r="EA14" s="59"/>
      <c r="EB14" s="59"/>
      <c r="EC14" s="59"/>
    </row>
    <row r="15" spans="1:133" s="49" customFormat="1" ht="126" x14ac:dyDescent="0.2">
      <c r="A15" s="49" t="s">
        <v>47</v>
      </c>
      <c r="B15" s="49" t="s">
        <v>48</v>
      </c>
      <c r="C15" s="60" t="s">
        <v>49</v>
      </c>
      <c r="D15" s="60" t="s">
        <v>50</v>
      </c>
      <c r="E15" s="49">
        <v>1</v>
      </c>
      <c r="F15" s="49">
        <v>2</v>
      </c>
      <c r="G15" s="49" t="s">
        <v>22</v>
      </c>
      <c r="H15" s="59"/>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59"/>
      <c r="BC15" s="59"/>
      <c r="BD15" s="59"/>
      <c r="BE15" s="59"/>
      <c r="BF15" s="59"/>
      <c r="BG15" s="59"/>
      <c r="BH15" s="59"/>
      <c r="BI15" s="59"/>
      <c r="BJ15" s="59"/>
      <c r="BK15" s="59"/>
      <c r="BL15" s="59"/>
      <c r="BM15" s="59"/>
      <c r="BN15" s="59"/>
      <c r="BO15" s="59"/>
      <c r="BP15" s="59"/>
      <c r="BQ15" s="59"/>
      <c r="BR15" s="59"/>
      <c r="BS15" s="59"/>
      <c r="BT15" s="59"/>
      <c r="BU15" s="59"/>
      <c r="BV15" s="59"/>
      <c r="BW15" s="59"/>
      <c r="BX15" s="59"/>
      <c r="BY15" s="59"/>
      <c r="BZ15" s="59"/>
      <c r="CA15" s="59"/>
      <c r="CB15" s="59"/>
      <c r="CC15" s="59"/>
      <c r="CD15" s="59"/>
      <c r="CE15" s="59"/>
      <c r="CF15" s="59"/>
      <c r="CG15" s="59"/>
      <c r="CH15" s="59"/>
      <c r="CI15" s="59"/>
      <c r="CJ15" s="59"/>
      <c r="CK15" s="59"/>
      <c r="CL15" s="59"/>
      <c r="CM15" s="59"/>
      <c r="CN15" s="59"/>
      <c r="CO15" s="59"/>
      <c r="CP15" s="59"/>
      <c r="CQ15" s="59"/>
      <c r="CR15" s="59"/>
      <c r="CS15" s="59"/>
      <c r="CT15" s="59"/>
      <c r="CU15" s="59"/>
      <c r="CV15" s="59"/>
      <c r="CW15" s="59"/>
      <c r="CX15" s="59"/>
      <c r="CY15" s="59"/>
      <c r="CZ15" s="59"/>
      <c r="DA15" s="59"/>
      <c r="DB15" s="59"/>
      <c r="DC15" s="59"/>
      <c r="DD15" s="59"/>
      <c r="DE15" s="59"/>
      <c r="DF15" s="59"/>
      <c r="DG15" s="59"/>
      <c r="DH15" s="59"/>
      <c r="DI15" s="59"/>
      <c r="DJ15" s="59"/>
      <c r="DK15" s="59"/>
      <c r="DL15" s="59"/>
      <c r="DM15" s="59"/>
      <c r="DN15" s="59"/>
      <c r="DO15" s="59"/>
      <c r="DP15" s="59"/>
      <c r="DQ15" s="59"/>
      <c r="DR15" s="59"/>
      <c r="DS15" s="59"/>
      <c r="DT15" s="59"/>
      <c r="DU15" s="59"/>
      <c r="DV15" s="59"/>
      <c r="DW15" s="59"/>
      <c r="DX15" s="59"/>
      <c r="DY15" s="59"/>
      <c r="DZ15" s="59"/>
      <c r="EA15" s="59"/>
      <c r="EB15" s="59"/>
      <c r="EC15" s="59"/>
    </row>
    <row r="16" spans="1:133" s="49" customFormat="1" ht="126" x14ac:dyDescent="0.2">
      <c r="A16" s="49" t="s">
        <v>51</v>
      </c>
      <c r="B16" s="49" t="s">
        <v>52</v>
      </c>
      <c r="C16" s="60" t="s">
        <v>53</v>
      </c>
      <c r="D16" s="60" t="s">
        <v>54</v>
      </c>
      <c r="E16" s="49">
        <v>2</v>
      </c>
      <c r="F16" s="49">
        <v>2</v>
      </c>
      <c r="G16" s="49" t="s">
        <v>22</v>
      </c>
      <c r="H16" s="59"/>
      <c r="I16" s="59"/>
      <c r="J16" s="59"/>
      <c r="K16" s="59"/>
      <c r="L16" s="59"/>
      <c r="M16" s="59"/>
      <c r="N16" s="59"/>
      <c r="O16" s="59"/>
      <c r="P16" s="59"/>
      <c r="Q16" s="59"/>
      <c r="R16" s="59"/>
      <c r="S16" s="59"/>
      <c r="T16" s="59"/>
      <c r="U16" s="59"/>
      <c r="V16" s="5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c r="BA16" s="59"/>
      <c r="BB16" s="59"/>
      <c r="BC16" s="59"/>
      <c r="BD16" s="59"/>
      <c r="BE16" s="59"/>
      <c r="BF16" s="59"/>
      <c r="BG16" s="59"/>
      <c r="BH16" s="59"/>
      <c r="BI16" s="59"/>
      <c r="BJ16" s="59"/>
      <c r="BK16" s="59"/>
      <c r="BL16" s="59"/>
      <c r="BM16" s="59"/>
      <c r="BN16" s="59"/>
      <c r="BO16" s="59"/>
      <c r="BP16" s="59"/>
      <c r="BQ16" s="59"/>
      <c r="BR16" s="59"/>
      <c r="BS16" s="59"/>
      <c r="BT16" s="59"/>
      <c r="BU16" s="59"/>
      <c r="BV16" s="59"/>
      <c r="BW16" s="59"/>
      <c r="BX16" s="59"/>
      <c r="BY16" s="59"/>
      <c r="BZ16" s="59"/>
      <c r="CA16" s="59"/>
      <c r="CB16" s="59"/>
      <c r="CC16" s="59"/>
      <c r="CD16" s="59"/>
      <c r="CE16" s="59"/>
      <c r="CF16" s="59"/>
      <c r="CG16" s="59"/>
      <c r="CH16" s="59"/>
      <c r="CI16" s="59"/>
      <c r="CJ16" s="59"/>
      <c r="CK16" s="59"/>
      <c r="CL16" s="59"/>
      <c r="CM16" s="59"/>
      <c r="CN16" s="59"/>
      <c r="CO16" s="59"/>
      <c r="CP16" s="59"/>
      <c r="CQ16" s="59"/>
      <c r="CR16" s="59"/>
      <c r="CS16" s="59"/>
      <c r="CT16" s="59"/>
      <c r="CU16" s="59"/>
      <c r="CV16" s="59"/>
      <c r="CW16" s="59"/>
      <c r="CX16" s="59"/>
      <c r="CY16" s="59"/>
      <c r="CZ16" s="59"/>
      <c r="DA16" s="59"/>
      <c r="DB16" s="59"/>
      <c r="DC16" s="59"/>
      <c r="DD16" s="59"/>
      <c r="DE16" s="59"/>
      <c r="DF16" s="59"/>
      <c r="DG16" s="59"/>
      <c r="DH16" s="59"/>
      <c r="DI16" s="59"/>
      <c r="DJ16" s="59"/>
      <c r="DK16" s="59"/>
      <c r="DL16" s="59"/>
      <c r="DM16" s="59"/>
      <c r="DN16" s="59"/>
      <c r="DO16" s="59"/>
      <c r="DP16" s="59"/>
      <c r="DQ16" s="59"/>
      <c r="DR16" s="59"/>
      <c r="DS16" s="59"/>
      <c r="DT16" s="59"/>
      <c r="DU16" s="59"/>
      <c r="DV16" s="59"/>
      <c r="DW16" s="59"/>
      <c r="DX16" s="59"/>
      <c r="DY16" s="59"/>
      <c r="DZ16" s="59"/>
      <c r="EA16" s="59"/>
      <c r="EB16" s="59"/>
      <c r="EC16" s="59"/>
    </row>
    <row r="17" spans="1:133" s="49" customFormat="1" ht="141.75" x14ac:dyDescent="0.2">
      <c r="A17" s="49" t="s">
        <v>55</v>
      </c>
      <c r="B17" s="49" t="s">
        <v>56</v>
      </c>
      <c r="C17" s="60" t="s">
        <v>57</v>
      </c>
      <c r="D17" s="60" t="s">
        <v>58</v>
      </c>
      <c r="E17" s="49">
        <v>2</v>
      </c>
      <c r="F17" s="49">
        <v>3</v>
      </c>
      <c r="G17" s="49" t="s">
        <v>22</v>
      </c>
      <c r="H17" s="59"/>
      <c r="I17" s="59"/>
      <c r="J17" s="59"/>
      <c r="K17" s="59"/>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59"/>
      <c r="BB17" s="59"/>
      <c r="BC17" s="59"/>
      <c r="BD17" s="59"/>
      <c r="BE17" s="59"/>
      <c r="BF17" s="59"/>
      <c r="BG17" s="59"/>
      <c r="BH17" s="59"/>
      <c r="BI17" s="59"/>
      <c r="BJ17" s="59"/>
      <c r="BK17" s="59"/>
      <c r="BL17" s="59"/>
      <c r="BM17" s="59"/>
      <c r="BN17" s="59"/>
      <c r="BO17" s="59"/>
      <c r="BP17" s="59"/>
      <c r="BQ17" s="59"/>
      <c r="BR17" s="59"/>
      <c r="BS17" s="59"/>
      <c r="BT17" s="59"/>
      <c r="BU17" s="59"/>
      <c r="BV17" s="59"/>
      <c r="BW17" s="59"/>
      <c r="BX17" s="59"/>
      <c r="BY17" s="59"/>
      <c r="BZ17" s="59"/>
      <c r="CA17" s="59"/>
      <c r="CB17" s="59"/>
      <c r="CC17" s="59"/>
      <c r="CD17" s="59"/>
      <c r="CE17" s="59"/>
      <c r="CF17" s="59"/>
      <c r="CG17" s="59"/>
      <c r="CH17" s="59"/>
      <c r="CI17" s="59"/>
      <c r="CJ17" s="59"/>
      <c r="CK17" s="59"/>
      <c r="CL17" s="59"/>
      <c r="CM17" s="59"/>
      <c r="CN17" s="59"/>
      <c r="CO17" s="59"/>
      <c r="CP17" s="59"/>
      <c r="CQ17" s="59"/>
      <c r="CR17" s="59"/>
      <c r="CS17" s="59"/>
      <c r="CT17" s="59"/>
      <c r="CU17" s="59"/>
      <c r="CV17" s="59"/>
      <c r="CW17" s="59"/>
      <c r="CX17" s="59"/>
      <c r="CY17" s="59"/>
      <c r="CZ17" s="59"/>
      <c r="DA17" s="59"/>
      <c r="DB17" s="59"/>
      <c r="DC17" s="59"/>
      <c r="DD17" s="59"/>
      <c r="DE17" s="59"/>
      <c r="DF17" s="59"/>
      <c r="DG17" s="59"/>
      <c r="DH17" s="59"/>
      <c r="DI17" s="59"/>
      <c r="DJ17" s="59"/>
      <c r="DK17" s="59"/>
      <c r="DL17" s="59"/>
      <c r="DM17" s="59"/>
      <c r="DN17" s="59"/>
      <c r="DO17" s="59"/>
      <c r="DP17" s="59"/>
      <c r="DQ17" s="59"/>
      <c r="DR17" s="59"/>
      <c r="DS17" s="59"/>
      <c r="DT17" s="59"/>
      <c r="DU17" s="59"/>
      <c r="DV17" s="59"/>
      <c r="DW17" s="59"/>
      <c r="DX17" s="59"/>
      <c r="DY17" s="59"/>
      <c r="DZ17" s="59"/>
      <c r="EA17" s="59"/>
      <c r="EB17" s="59"/>
      <c r="EC17" s="59"/>
    </row>
    <row r="18" spans="1:133" s="49" customFormat="1" ht="126" x14ac:dyDescent="0.2">
      <c r="A18" s="49" t="s">
        <v>59</v>
      </c>
      <c r="B18" s="49" t="s">
        <v>60</v>
      </c>
      <c r="C18" s="60" t="s">
        <v>61</v>
      </c>
      <c r="D18" s="60" t="s">
        <v>62</v>
      </c>
      <c r="E18" s="49">
        <v>3</v>
      </c>
      <c r="F18" s="49">
        <v>3</v>
      </c>
      <c r="G18" s="49" t="s">
        <v>22</v>
      </c>
      <c r="H18" s="59"/>
      <c r="I18" s="59"/>
      <c r="J18" s="59"/>
      <c r="K18" s="59"/>
      <c r="L18" s="59"/>
      <c r="M18" s="59"/>
      <c r="N18" s="59"/>
      <c r="O18" s="59"/>
      <c r="P18" s="59"/>
      <c r="Q18" s="59"/>
      <c r="R18" s="59"/>
      <c r="S18" s="59"/>
      <c r="T18" s="59"/>
      <c r="U18" s="59"/>
      <c r="V18" s="59"/>
      <c r="W18" s="59"/>
      <c r="X18" s="59"/>
      <c r="Y18" s="59"/>
      <c r="Z18" s="59"/>
      <c r="AA18" s="59"/>
      <c r="AB18" s="59"/>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M18" s="59"/>
      <c r="CN18" s="59"/>
      <c r="CO18" s="59"/>
      <c r="CP18" s="59"/>
      <c r="CQ18" s="59"/>
      <c r="CR18" s="59"/>
      <c r="CS18" s="59"/>
      <c r="CT18" s="59"/>
      <c r="CU18" s="59"/>
      <c r="CV18" s="59"/>
      <c r="CW18" s="59"/>
      <c r="CX18" s="59"/>
      <c r="CY18" s="59"/>
      <c r="CZ18" s="59"/>
      <c r="DA18" s="59"/>
      <c r="DB18" s="59"/>
      <c r="DC18" s="59"/>
      <c r="DD18" s="59"/>
      <c r="DE18" s="59"/>
      <c r="DF18" s="59"/>
      <c r="DG18" s="59"/>
      <c r="DH18" s="59"/>
      <c r="DI18" s="59"/>
      <c r="DJ18" s="59"/>
      <c r="DK18" s="59"/>
      <c r="DL18" s="59"/>
      <c r="DM18" s="59"/>
      <c r="DN18" s="59"/>
      <c r="DO18" s="59"/>
      <c r="DP18" s="59"/>
      <c r="DQ18" s="59"/>
      <c r="DR18" s="59"/>
      <c r="DS18" s="59"/>
      <c r="DT18" s="59"/>
      <c r="DU18" s="59"/>
      <c r="DV18" s="59"/>
      <c r="DW18" s="59"/>
      <c r="DX18" s="59"/>
      <c r="DY18" s="59"/>
      <c r="DZ18" s="59"/>
      <c r="EA18" s="59"/>
      <c r="EB18" s="59"/>
      <c r="EC18" s="59"/>
    </row>
    <row r="19" spans="1:133" s="49" customFormat="1" ht="141.75" x14ac:dyDescent="0.2">
      <c r="A19" s="49" t="s">
        <v>63</v>
      </c>
      <c r="B19" s="49" t="s">
        <v>64</v>
      </c>
      <c r="C19" s="60" t="s">
        <v>65</v>
      </c>
      <c r="D19" s="60" t="s">
        <v>66</v>
      </c>
      <c r="E19" s="49">
        <v>2</v>
      </c>
      <c r="F19" s="49">
        <v>4</v>
      </c>
      <c r="G19" s="49" t="s">
        <v>22</v>
      </c>
      <c r="H19" s="59"/>
      <c r="I19" s="59"/>
      <c r="J19" s="59"/>
      <c r="K19" s="59"/>
      <c r="L19" s="59"/>
      <c r="M19" s="59"/>
      <c r="N19" s="59"/>
      <c r="O19" s="59"/>
      <c r="P19" s="59"/>
      <c r="Q19" s="59"/>
      <c r="R19" s="59"/>
      <c r="S19" s="59"/>
      <c r="T19" s="59"/>
      <c r="U19" s="59"/>
      <c r="V19" s="5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59"/>
      <c r="CF19" s="59"/>
      <c r="CG19" s="59"/>
      <c r="CH19" s="59"/>
      <c r="CI19" s="59"/>
      <c r="CJ19" s="59"/>
      <c r="CK19" s="59"/>
      <c r="CL19" s="59"/>
      <c r="CM19" s="59"/>
      <c r="CN19" s="59"/>
      <c r="CO19" s="59"/>
      <c r="CP19" s="59"/>
      <c r="CQ19" s="59"/>
      <c r="CR19" s="59"/>
      <c r="CS19" s="59"/>
      <c r="CT19" s="59"/>
      <c r="CU19" s="59"/>
      <c r="CV19" s="59"/>
      <c r="CW19" s="59"/>
      <c r="CX19" s="59"/>
      <c r="CY19" s="59"/>
      <c r="CZ19" s="59"/>
      <c r="DA19" s="59"/>
      <c r="DB19" s="59"/>
      <c r="DC19" s="59"/>
      <c r="DD19" s="59"/>
      <c r="DE19" s="59"/>
      <c r="DF19" s="59"/>
      <c r="DG19" s="59"/>
      <c r="DH19" s="59"/>
      <c r="DI19" s="59"/>
      <c r="DJ19" s="59"/>
      <c r="DK19" s="59"/>
      <c r="DL19" s="59"/>
      <c r="DM19" s="59"/>
      <c r="DN19" s="59"/>
      <c r="DO19" s="59"/>
      <c r="DP19" s="59"/>
      <c r="DQ19" s="59"/>
      <c r="DR19" s="59"/>
      <c r="DS19" s="59"/>
      <c r="DT19" s="59"/>
      <c r="DU19" s="59"/>
      <c r="DV19" s="59"/>
      <c r="DW19" s="59"/>
      <c r="DX19" s="59"/>
      <c r="DY19" s="59"/>
      <c r="DZ19" s="59"/>
      <c r="EA19" s="59"/>
      <c r="EB19" s="59"/>
      <c r="EC19" s="59"/>
    </row>
    <row r="20" spans="1:133" s="49" customFormat="1" ht="157.5" x14ac:dyDescent="0.2">
      <c r="A20" s="61" t="s">
        <v>67</v>
      </c>
      <c r="B20" s="61" t="s">
        <v>68</v>
      </c>
      <c r="C20" s="62" t="s">
        <v>69</v>
      </c>
      <c r="D20" s="62" t="s">
        <v>70</v>
      </c>
      <c r="E20" s="61">
        <v>1</v>
      </c>
      <c r="F20" s="61">
        <v>1</v>
      </c>
      <c r="G20" s="61" t="s">
        <v>22</v>
      </c>
      <c r="H20" s="59"/>
      <c r="I20" s="59"/>
      <c r="J20" s="59"/>
      <c r="K20" s="59"/>
      <c r="L20" s="59"/>
      <c r="M20" s="59"/>
      <c r="N20" s="59"/>
      <c r="O20" s="59"/>
      <c r="P20" s="59"/>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M20" s="59"/>
      <c r="CN20" s="59"/>
      <c r="CO20" s="59"/>
      <c r="CP20" s="59"/>
      <c r="CQ20" s="59"/>
      <c r="CR20" s="59"/>
      <c r="CS20" s="59"/>
      <c r="CT20" s="59"/>
      <c r="CU20" s="59"/>
      <c r="CV20" s="59"/>
      <c r="CW20" s="59"/>
      <c r="CX20" s="59"/>
      <c r="CY20" s="59"/>
      <c r="CZ20" s="59"/>
      <c r="DA20" s="59"/>
      <c r="DB20" s="59"/>
      <c r="DC20" s="59"/>
      <c r="DD20" s="59"/>
      <c r="DE20" s="59"/>
      <c r="DF20" s="59"/>
      <c r="DG20" s="59"/>
      <c r="DH20" s="59"/>
      <c r="DI20" s="59"/>
      <c r="DJ20" s="59"/>
      <c r="DK20" s="59"/>
      <c r="DL20" s="59"/>
      <c r="DM20" s="59"/>
      <c r="DN20" s="59"/>
      <c r="DO20" s="59"/>
      <c r="DP20" s="59"/>
      <c r="DQ20" s="59"/>
      <c r="DR20" s="59"/>
      <c r="DS20" s="59"/>
      <c r="DT20" s="59"/>
      <c r="DU20" s="59"/>
      <c r="DV20" s="59"/>
      <c r="DW20" s="59"/>
      <c r="DX20" s="59"/>
      <c r="DY20" s="59"/>
      <c r="DZ20" s="59"/>
      <c r="EA20" s="59"/>
      <c r="EB20" s="59"/>
      <c r="EC20" s="59"/>
    </row>
    <row r="21" spans="1:133" s="49" customFormat="1" ht="126" x14ac:dyDescent="0.2">
      <c r="A21" s="61" t="s">
        <v>71</v>
      </c>
      <c r="B21" s="61" t="s">
        <v>72</v>
      </c>
      <c r="C21" s="62" t="s">
        <v>73</v>
      </c>
      <c r="D21" s="62" t="s">
        <v>74</v>
      </c>
      <c r="E21" s="61">
        <v>3</v>
      </c>
      <c r="F21" s="61">
        <v>4</v>
      </c>
      <c r="G21" s="61" t="s">
        <v>22</v>
      </c>
      <c r="H21" s="59"/>
      <c r="I21" s="59"/>
      <c r="J21" s="59"/>
      <c r="K21" s="59"/>
      <c r="L21" s="59"/>
      <c r="M21" s="59"/>
      <c r="N21" s="59"/>
      <c r="O21" s="59"/>
      <c r="P21" s="59"/>
      <c r="Q21" s="59"/>
      <c r="R21" s="59"/>
      <c r="S21" s="59"/>
      <c r="T21" s="59"/>
      <c r="U21" s="59"/>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59"/>
      <c r="BB21" s="59"/>
      <c r="BC21" s="59"/>
      <c r="BD21" s="59"/>
      <c r="BE21" s="59"/>
      <c r="BF21" s="59"/>
      <c r="BG21" s="59"/>
      <c r="BH21" s="59"/>
      <c r="BI21" s="59"/>
      <c r="BJ21" s="59"/>
      <c r="BK21" s="59"/>
      <c r="BL21" s="59"/>
      <c r="BM21" s="59"/>
      <c r="BN21" s="59"/>
      <c r="BO21" s="59"/>
      <c r="BP21" s="59"/>
      <c r="BQ21" s="59"/>
      <c r="BR21" s="59"/>
      <c r="BS21" s="59"/>
      <c r="BT21" s="59"/>
      <c r="BU21" s="59"/>
      <c r="BV21" s="59"/>
      <c r="BW21" s="59"/>
      <c r="BX21" s="59"/>
      <c r="BY21" s="59"/>
      <c r="BZ21" s="59"/>
      <c r="CA21" s="59"/>
      <c r="CB21" s="59"/>
      <c r="CC21" s="59"/>
      <c r="CD21" s="59"/>
      <c r="CE21" s="59"/>
      <c r="CF21" s="59"/>
      <c r="CG21" s="59"/>
      <c r="CH21" s="59"/>
      <c r="CI21" s="59"/>
      <c r="CJ21" s="59"/>
      <c r="CK21" s="59"/>
      <c r="CL21" s="59"/>
      <c r="CM21" s="59"/>
      <c r="CN21" s="59"/>
      <c r="CO21" s="59"/>
      <c r="CP21" s="59"/>
      <c r="CQ21" s="59"/>
      <c r="CR21" s="59"/>
      <c r="CS21" s="59"/>
      <c r="CT21" s="59"/>
      <c r="CU21" s="59"/>
      <c r="CV21" s="59"/>
      <c r="CW21" s="59"/>
      <c r="CX21" s="59"/>
      <c r="CY21" s="59"/>
      <c r="CZ21" s="59"/>
      <c r="DA21" s="59"/>
      <c r="DB21" s="59"/>
      <c r="DC21" s="59"/>
      <c r="DD21" s="59"/>
      <c r="DE21" s="59"/>
      <c r="DF21" s="59"/>
      <c r="DG21" s="59"/>
      <c r="DH21" s="59"/>
      <c r="DI21" s="59"/>
      <c r="DJ21" s="59"/>
      <c r="DK21" s="59"/>
      <c r="DL21" s="59"/>
      <c r="DM21" s="59"/>
      <c r="DN21" s="59"/>
      <c r="DO21" s="59"/>
      <c r="DP21" s="59"/>
      <c r="DQ21" s="59"/>
      <c r="DR21" s="59"/>
      <c r="DS21" s="59"/>
      <c r="DT21" s="59"/>
      <c r="DU21" s="59"/>
      <c r="DV21" s="59"/>
      <c r="DW21" s="59"/>
      <c r="DX21" s="59"/>
      <c r="DY21" s="59"/>
      <c r="DZ21" s="59"/>
      <c r="EA21" s="59"/>
      <c r="EB21" s="59"/>
      <c r="EC21" s="59"/>
    </row>
    <row r="22" spans="1:133" ht="141.75" x14ac:dyDescent="0.25">
      <c r="A22" s="61" t="s">
        <v>75</v>
      </c>
      <c r="B22" s="61" t="s">
        <v>76</v>
      </c>
      <c r="C22" s="62" t="s">
        <v>77</v>
      </c>
      <c r="D22" s="62" t="s">
        <v>78</v>
      </c>
      <c r="E22" s="61">
        <v>2</v>
      </c>
      <c r="F22" s="61">
        <v>3</v>
      </c>
      <c r="G22" s="61" t="s">
        <v>22</v>
      </c>
    </row>
    <row r="23" spans="1:133" ht="126" x14ac:dyDescent="0.25">
      <c r="A23" s="61" t="s">
        <v>79</v>
      </c>
      <c r="B23" s="61" t="s">
        <v>80</v>
      </c>
      <c r="C23" s="62" t="s">
        <v>81</v>
      </c>
      <c r="D23" s="62" t="s">
        <v>82</v>
      </c>
      <c r="E23" s="61">
        <v>3</v>
      </c>
      <c r="F23" s="61">
        <v>5</v>
      </c>
      <c r="G23" s="61" t="s">
        <v>22</v>
      </c>
    </row>
    <row r="24" spans="1:133" ht="126" x14ac:dyDescent="0.25">
      <c r="A24" s="61" t="s">
        <v>83</v>
      </c>
      <c r="B24" s="61" t="s">
        <v>84</v>
      </c>
      <c r="C24" s="62" t="s">
        <v>85</v>
      </c>
      <c r="D24" s="62" t="s">
        <v>86</v>
      </c>
      <c r="E24" s="61">
        <v>3</v>
      </c>
      <c r="F24" s="61">
        <v>5</v>
      </c>
      <c r="G24" s="61" t="s">
        <v>22</v>
      </c>
    </row>
    <row r="25" spans="1:133" ht="126" x14ac:dyDescent="0.25">
      <c r="A25" s="61" t="s">
        <v>87</v>
      </c>
      <c r="B25" s="61" t="s">
        <v>88</v>
      </c>
      <c r="C25" s="61" t="s">
        <v>89</v>
      </c>
      <c r="D25" s="62" t="s">
        <v>90</v>
      </c>
      <c r="E25" s="61">
        <v>2</v>
      </c>
      <c r="F25" s="61">
        <v>4</v>
      </c>
      <c r="G25" s="61" t="s">
        <v>22</v>
      </c>
    </row>
    <row r="26" spans="1:133" x14ac:dyDescent="0.25">
      <c r="A26" s="49"/>
      <c r="B26" s="49"/>
      <c r="C26" s="49"/>
      <c r="D26" s="49"/>
      <c r="E26" s="49"/>
      <c r="F26" s="49"/>
      <c r="G26" s="49"/>
    </row>
    <row r="27" spans="1:133" x14ac:dyDescent="0.25">
      <c r="A27" s="43"/>
      <c r="E27" s="43"/>
    </row>
    <row r="28" spans="1:133" x14ac:dyDescent="0.25">
      <c r="A28" s="43"/>
      <c r="E28" s="43"/>
    </row>
    <row r="29" spans="1:133" x14ac:dyDescent="0.25">
      <c r="A29" s="43"/>
      <c r="E29" s="43"/>
    </row>
  </sheetData>
  <customSheetViews>
    <customSheetView guid="{F117AA09-D9DE-4D2E-A2DF-77AB3D7617C3}" showAutoFilter="1">
      <selection activeCell="B7" sqref="B7"/>
      <pageMargins left="0" right="0" top="0" bottom="0" header="0" footer="0"/>
      <pageSetup orientation="portrait" r:id="rId1"/>
      <headerFooter alignWithMargins="0"/>
      <autoFilter ref="B1:F1" xr:uid="{A374A6B3-698D-4074-8246-19CD19AF6BEB}"/>
    </customSheetView>
    <customSheetView guid="{AF9CDD9E-3CB3-EE48-8887-F1090B6AE042}" scale="150" showAutoFilter="1" topLeftCell="B36">
      <selection activeCell="C41" sqref="C41"/>
      <pageMargins left="0" right="0" top="0" bottom="0" header="0" footer="0"/>
      <pageSetup orientation="portrait"/>
      <headerFooter alignWithMargins="0"/>
      <autoFilter ref="B1:F1" xr:uid="{0DB21D04-938A-4187-B09E-3D73F0818135}"/>
    </customSheetView>
    <customSheetView guid="{988818D5-2AEF-4A9A-A55E-18240173EC63}" showAutoFilter="1">
      <selection activeCell="B43" sqref="B43"/>
      <pageMargins left="0" right="0" top="0" bottom="0" header="0" footer="0"/>
      <pageSetup orientation="portrait" r:id="rId2"/>
      <headerFooter alignWithMargins="0"/>
      <autoFilter ref="B1:F1" xr:uid="{6192D49B-CF32-4965-860F-243F406A1EB9}"/>
    </customSheetView>
  </customSheetViews>
  <mergeCells count="1">
    <mergeCell ref="A2:F2"/>
  </mergeCells>
  <phoneticPr fontId="4" type="noConversion"/>
  <pageMargins left="0.75" right="0.75" top="1" bottom="1" header="0.5" footer="0.5"/>
  <pageSetup orientation="portrait" r:id="rId3"/>
  <headerFooter alignWithMargins="0"/>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AAEB-B5F0-468C-BFDD-E9B5D3EFF0AD}">
  <dimension ref="A2:S49"/>
  <sheetViews>
    <sheetView topLeftCell="A10" workbookViewId="0">
      <selection activeCell="A10" sqref="A10"/>
    </sheetView>
  </sheetViews>
  <sheetFormatPr defaultColWidth="11.42578125" defaultRowHeight="12.75" x14ac:dyDescent="0.2"/>
  <cols>
    <col min="1" max="1" width="9.7109375" style="5" bestFit="1" customWidth="1"/>
    <col min="2" max="2" width="10.28515625" style="5" bestFit="1" customWidth="1"/>
    <col min="3" max="3" width="33.85546875" style="6" customWidth="1"/>
    <col min="4" max="4" width="21.140625" style="6" customWidth="1"/>
    <col min="5" max="5" width="10.42578125" style="4" customWidth="1"/>
    <col min="6" max="12" width="11.42578125" style="4" customWidth="1"/>
    <col min="13" max="16384" width="11.42578125" style="5"/>
  </cols>
  <sheetData>
    <row r="2" spans="1:19" customFormat="1" ht="43.5" customHeight="1" x14ac:dyDescent="0.2">
      <c r="A2" s="103" t="str">
        <f>CONCATENATE("Sprint #",E5, "Tracking Sheet")</f>
        <v>Sprint #1Tracking Sheet</v>
      </c>
      <c r="B2" s="103"/>
      <c r="C2" s="103"/>
      <c r="D2" s="103"/>
      <c r="E2" s="103"/>
      <c r="F2" s="103"/>
      <c r="G2" s="103"/>
      <c r="H2" s="103"/>
      <c r="I2" s="103"/>
      <c r="J2" s="103"/>
      <c r="K2" s="103"/>
      <c r="L2" s="103"/>
    </row>
    <row r="4" spans="1:19" customFormat="1" x14ac:dyDescent="0.2">
      <c r="A4" s="2"/>
      <c r="B4" s="5"/>
      <c r="C4" s="33" t="s">
        <v>16</v>
      </c>
      <c r="D4" s="50"/>
      <c r="E4" s="104" t="s">
        <v>17</v>
      </c>
      <c r="F4" s="105"/>
      <c r="G4" s="105"/>
      <c r="H4" s="105"/>
      <c r="I4" s="105"/>
      <c r="J4" s="106"/>
    </row>
    <row r="5" spans="1:19" x14ac:dyDescent="0.2">
      <c r="C5" s="11" t="s">
        <v>29</v>
      </c>
      <c r="D5" s="11"/>
      <c r="E5" s="22">
        <v>1</v>
      </c>
    </row>
    <row r="6" spans="1:19" x14ac:dyDescent="0.2">
      <c r="C6" s="11" t="s">
        <v>91</v>
      </c>
      <c r="D6" s="11"/>
      <c r="E6" s="23">
        <v>46181</v>
      </c>
    </row>
    <row r="7" spans="1:19" ht="13.5" thickBot="1" x14ac:dyDescent="0.25">
      <c r="C7" s="3"/>
      <c r="D7" s="11" t="s">
        <v>92</v>
      </c>
      <c r="E7" s="22">
        <v>5</v>
      </c>
    </row>
    <row r="8" spans="1:19" ht="13.5" thickBot="1" x14ac:dyDescent="0.25">
      <c r="F8" s="107" t="s">
        <v>93</v>
      </c>
      <c r="G8" s="108"/>
      <c r="H8" s="108"/>
      <c r="I8" s="108"/>
      <c r="J8" s="108"/>
      <c r="K8" s="108"/>
      <c r="L8" s="109"/>
      <c r="M8" s="107" t="s">
        <v>94</v>
      </c>
      <c r="N8" s="108"/>
      <c r="O8" s="108"/>
      <c r="P8" s="108"/>
      <c r="Q8" s="108"/>
      <c r="R8" s="108"/>
      <c r="S8" s="109"/>
    </row>
    <row r="9" spans="1:19" ht="12.75" customHeight="1" thickBot="1" x14ac:dyDescent="0.25">
      <c r="F9" s="55">
        <v>1</v>
      </c>
      <c r="G9" s="56">
        <v>2</v>
      </c>
      <c r="H9" s="55">
        <v>3</v>
      </c>
      <c r="I9" s="56">
        <v>4</v>
      </c>
      <c r="J9" s="55">
        <v>5</v>
      </c>
      <c r="K9" s="56">
        <v>6</v>
      </c>
      <c r="L9" s="55">
        <v>7</v>
      </c>
      <c r="M9" s="56">
        <v>8</v>
      </c>
      <c r="N9" s="55">
        <v>9</v>
      </c>
      <c r="O9" s="56">
        <v>10</v>
      </c>
      <c r="P9" s="55">
        <v>11</v>
      </c>
      <c r="Q9" s="56">
        <v>12</v>
      </c>
      <c r="R9" s="55">
        <v>13</v>
      </c>
      <c r="S9" s="56">
        <v>14</v>
      </c>
    </row>
    <row r="10" spans="1:19" s="3" customFormat="1" ht="27" customHeight="1" x14ac:dyDescent="0.2">
      <c r="A10" s="17" t="s">
        <v>95</v>
      </c>
      <c r="B10" s="19" t="s">
        <v>96</v>
      </c>
      <c r="C10" s="18" t="s">
        <v>26</v>
      </c>
      <c r="D10" s="51" t="s">
        <v>30</v>
      </c>
      <c r="E10" s="20" t="s">
        <v>97</v>
      </c>
      <c r="F10" s="26">
        <f>E6</f>
        <v>46181</v>
      </c>
      <c r="G10" s="21">
        <f>F10+1</f>
        <v>46182</v>
      </c>
      <c r="H10" s="21">
        <f t="shared" ref="H10:S10" si="0">G10+1</f>
        <v>46183</v>
      </c>
      <c r="I10" s="21">
        <f t="shared" si="0"/>
        <v>46184</v>
      </c>
      <c r="J10" s="21">
        <f t="shared" si="0"/>
        <v>46185</v>
      </c>
      <c r="K10" s="21">
        <f t="shared" si="0"/>
        <v>46186</v>
      </c>
      <c r="L10" s="21">
        <f t="shared" si="0"/>
        <v>46187</v>
      </c>
      <c r="M10" s="21">
        <f t="shared" si="0"/>
        <v>46188</v>
      </c>
      <c r="N10" s="21">
        <f t="shared" si="0"/>
        <v>46189</v>
      </c>
      <c r="O10" s="21">
        <f t="shared" si="0"/>
        <v>46190</v>
      </c>
      <c r="P10" s="21">
        <f t="shared" si="0"/>
        <v>46191</v>
      </c>
      <c r="Q10" s="21">
        <f t="shared" si="0"/>
        <v>46192</v>
      </c>
      <c r="R10" s="21">
        <f t="shared" si="0"/>
        <v>46193</v>
      </c>
      <c r="S10" s="21">
        <f t="shared" si="0"/>
        <v>46194</v>
      </c>
    </row>
    <row r="11" spans="1:19" s="32" customFormat="1" ht="25.5" x14ac:dyDescent="0.2">
      <c r="A11" s="28" t="s">
        <v>98</v>
      </c>
      <c r="B11" s="29" t="s">
        <v>31</v>
      </c>
      <c r="C11" s="30" t="s">
        <v>99</v>
      </c>
      <c r="D11" s="52" t="s">
        <v>100</v>
      </c>
      <c r="E11" s="27">
        <v>12</v>
      </c>
      <c r="F11" s="31">
        <v>12</v>
      </c>
      <c r="G11" s="31">
        <v>10</v>
      </c>
      <c r="H11" s="31">
        <v>8</v>
      </c>
      <c r="I11" s="31">
        <v>5</v>
      </c>
      <c r="J11" s="29">
        <v>0</v>
      </c>
      <c r="K11" s="29">
        <v>0</v>
      </c>
      <c r="L11" s="29">
        <v>0</v>
      </c>
      <c r="M11" s="31">
        <v>0</v>
      </c>
      <c r="N11" s="31">
        <v>0</v>
      </c>
      <c r="O11" s="31">
        <v>0</v>
      </c>
      <c r="P11" s="31">
        <v>0</v>
      </c>
      <c r="Q11" s="29">
        <v>0</v>
      </c>
      <c r="R11" s="29">
        <v>0</v>
      </c>
      <c r="S11" s="29">
        <v>0</v>
      </c>
    </row>
    <row r="12" spans="1:19" s="32" customFormat="1" ht="25.5" x14ac:dyDescent="0.2">
      <c r="A12" s="28" t="s">
        <v>101</v>
      </c>
      <c r="B12" s="29" t="s">
        <v>31</v>
      </c>
      <c r="C12" s="30" t="s">
        <v>102</v>
      </c>
      <c r="D12" s="52" t="s">
        <v>100</v>
      </c>
      <c r="E12" s="27">
        <v>6</v>
      </c>
      <c r="F12" s="31">
        <v>6</v>
      </c>
      <c r="G12" s="31">
        <v>5</v>
      </c>
      <c r="H12" s="31">
        <v>3</v>
      </c>
      <c r="I12" s="31">
        <v>0</v>
      </c>
      <c r="J12" s="29">
        <v>0</v>
      </c>
      <c r="K12" s="29">
        <v>0</v>
      </c>
      <c r="L12" s="29">
        <v>0</v>
      </c>
      <c r="M12" s="31">
        <v>0</v>
      </c>
      <c r="N12" s="31">
        <v>0</v>
      </c>
      <c r="O12" s="31">
        <v>0</v>
      </c>
      <c r="P12" s="31">
        <v>0</v>
      </c>
      <c r="Q12" s="29">
        <v>0</v>
      </c>
      <c r="R12" s="29">
        <v>0</v>
      </c>
      <c r="S12" s="29">
        <v>0</v>
      </c>
    </row>
    <row r="13" spans="1:19" s="32" customFormat="1" ht="25.5" x14ac:dyDescent="0.2">
      <c r="A13" s="28" t="s">
        <v>103</v>
      </c>
      <c r="B13" s="29" t="s">
        <v>31</v>
      </c>
      <c r="C13" s="30" t="s">
        <v>104</v>
      </c>
      <c r="D13" s="52" t="s">
        <v>19</v>
      </c>
      <c r="E13" s="27">
        <v>10</v>
      </c>
      <c r="F13" s="31">
        <v>10</v>
      </c>
      <c r="G13" s="29">
        <v>10</v>
      </c>
      <c r="H13" s="29">
        <v>10</v>
      </c>
      <c r="I13" s="29">
        <v>8</v>
      </c>
      <c r="J13" s="29">
        <v>5</v>
      </c>
      <c r="K13" s="29">
        <v>2</v>
      </c>
      <c r="L13" s="29">
        <v>0</v>
      </c>
      <c r="M13" s="31">
        <v>0</v>
      </c>
      <c r="N13" s="29">
        <v>0</v>
      </c>
      <c r="O13" s="29">
        <v>0</v>
      </c>
      <c r="P13" s="29">
        <v>0</v>
      </c>
      <c r="Q13" s="29">
        <v>0</v>
      </c>
      <c r="R13" s="29">
        <v>0</v>
      </c>
      <c r="S13" s="29">
        <v>0</v>
      </c>
    </row>
    <row r="14" spans="1:19" s="32" customFormat="1" ht="25.5" x14ac:dyDescent="0.2">
      <c r="A14" s="28" t="s">
        <v>105</v>
      </c>
      <c r="B14" s="29" t="s">
        <v>31</v>
      </c>
      <c r="C14" s="30" t="s">
        <v>106</v>
      </c>
      <c r="D14" s="52" t="s">
        <v>107</v>
      </c>
      <c r="E14" s="27">
        <v>8</v>
      </c>
      <c r="F14" s="31">
        <v>8</v>
      </c>
      <c r="G14" s="29">
        <v>8</v>
      </c>
      <c r="H14" s="29">
        <v>8</v>
      </c>
      <c r="I14" s="29">
        <v>6</v>
      </c>
      <c r="J14" s="29">
        <v>4</v>
      </c>
      <c r="K14" s="29">
        <v>2</v>
      </c>
      <c r="L14" s="29">
        <v>0</v>
      </c>
      <c r="M14" s="31">
        <v>0</v>
      </c>
      <c r="N14" s="29">
        <v>0</v>
      </c>
      <c r="O14" s="29">
        <v>0</v>
      </c>
      <c r="P14" s="29">
        <v>0</v>
      </c>
      <c r="Q14" s="29">
        <v>0</v>
      </c>
      <c r="R14" s="29">
        <v>0</v>
      </c>
      <c r="S14" s="29">
        <v>0</v>
      </c>
    </row>
    <row r="15" spans="1:19" s="32" customFormat="1" ht="25.5" x14ac:dyDescent="0.2">
      <c r="A15" s="28" t="s">
        <v>108</v>
      </c>
      <c r="B15" s="29" t="s">
        <v>35</v>
      </c>
      <c r="C15" s="30" t="s">
        <v>109</v>
      </c>
      <c r="D15" s="52" t="s">
        <v>118</v>
      </c>
      <c r="E15" s="27">
        <v>6</v>
      </c>
      <c r="F15" s="31">
        <v>6</v>
      </c>
      <c r="G15" s="29">
        <v>6</v>
      </c>
      <c r="H15" s="29">
        <v>6</v>
      </c>
      <c r="I15" s="29">
        <v>6</v>
      </c>
      <c r="J15" s="29">
        <v>6</v>
      </c>
      <c r="K15" s="29">
        <v>6</v>
      </c>
      <c r="L15" s="29">
        <v>4</v>
      </c>
      <c r="M15" s="31">
        <v>2</v>
      </c>
      <c r="N15" s="29">
        <v>0</v>
      </c>
      <c r="O15" s="29">
        <v>0</v>
      </c>
      <c r="P15" s="29">
        <v>0</v>
      </c>
      <c r="Q15" s="29">
        <v>0</v>
      </c>
      <c r="R15" s="29">
        <v>0</v>
      </c>
      <c r="S15" s="29">
        <v>0</v>
      </c>
    </row>
    <row r="16" spans="1:19" s="32" customFormat="1" ht="25.5" x14ac:dyDescent="0.2">
      <c r="A16" s="28" t="s">
        <v>110</v>
      </c>
      <c r="B16" s="29" t="s">
        <v>35</v>
      </c>
      <c r="C16" s="30" t="s">
        <v>111</v>
      </c>
      <c r="D16" s="52" t="s">
        <v>118</v>
      </c>
      <c r="E16" s="27">
        <v>12</v>
      </c>
      <c r="F16" s="31">
        <v>12</v>
      </c>
      <c r="G16" s="29">
        <v>12</v>
      </c>
      <c r="H16" s="29">
        <v>12</v>
      </c>
      <c r="I16" s="29">
        <v>12</v>
      </c>
      <c r="J16" s="29">
        <v>12</v>
      </c>
      <c r="K16" s="29">
        <v>10</v>
      </c>
      <c r="L16" s="29">
        <v>8</v>
      </c>
      <c r="M16" s="31">
        <v>6</v>
      </c>
      <c r="N16" s="29">
        <v>4</v>
      </c>
      <c r="O16" s="29">
        <v>2</v>
      </c>
      <c r="P16" s="29">
        <v>0</v>
      </c>
      <c r="Q16" s="29">
        <v>0</v>
      </c>
      <c r="R16" s="29">
        <v>0</v>
      </c>
      <c r="S16" s="29">
        <v>0</v>
      </c>
    </row>
    <row r="17" spans="1:19" s="8" customFormat="1" ht="25.5" x14ac:dyDescent="0.2">
      <c r="A17" s="63" t="s">
        <v>112</v>
      </c>
      <c r="B17" s="73" t="s">
        <v>35</v>
      </c>
      <c r="C17" s="67" t="s">
        <v>113</v>
      </c>
      <c r="D17" s="68" t="s">
        <v>118</v>
      </c>
      <c r="E17" s="27">
        <v>10</v>
      </c>
      <c r="F17" s="65">
        <v>10</v>
      </c>
      <c r="G17" s="24">
        <v>10</v>
      </c>
      <c r="H17" s="24">
        <v>10</v>
      </c>
      <c r="I17" s="24">
        <v>10</v>
      </c>
      <c r="J17" s="24">
        <v>10</v>
      </c>
      <c r="K17" s="24">
        <v>10</v>
      </c>
      <c r="L17" s="24">
        <v>10</v>
      </c>
      <c r="M17" s="65">
        <v>8</v>
      </c>
      <c r="N17" s="24">
        <v>6</v>
      </c>
      <c r="O17" s="24">
        <v>4</v>
      </c>
      <c r="P17" s="24">
        <v>2</v>
      </c>
      <c r="Q17" s="24">
        <v>0</v>
      </c>
      <c r="R17" s="24">
        <v>0</v>
      </c>
      <c r="S17" s="22">
        <v>0</v>
      </c>
    </row>
    <row r="18" spans="1:19" s="8" customFormat="1" ht="25.5" x14ac:dyDescent="0.2">
      <c r="A18" s="29" t="s">
        <v>114</v>
      </c>
      <c r="B18" s="29" t="s">
        <v>39</v>
      </c>
      <c r="C18" s="30" t="s">
        <v>115</v>
      </c>
      <c r="D18" s="30" t="s">
        <v>19</v>
      </c>
      <c r="E18" s="75">
        <v>6</v>
      </c>
      <c r="F18" s="28">
        <v>6</v>
      </c>
      <c r="G18" s="78">
        <v>6</v>
      </c>
      <c r="H18" s="78">
        <v>6</v>
      </c>
      <c r="I18" s="22">
        <v>6</v>
      </c>
      <c r="J18" s="22">
        <v>6</v>
      </c>
      <c r="K18" s="80">
        <v>6</v>
      </c>
      <c r="L18" s="81">
        <v>6</v>
      </c>
      <c r="M18" s="29">
        <v>6</v>
      </c>
      <c r="N18" s="22">
        <v>6</v>
      </c>
      <c r="O18" s="81">
        <v>0</v>
      </c>
      <c r="P18" s="22">
        <v>0</v>
      </c>
      <c r="Q18" s="81">
        <v>0</v>
      </c>
      <c r="R18" s="22">
        <v>0</v>
      </c>
      <c r="S18" s="24">
        <v>0</v>
      </c>
    </row>
    <row r="19" spans="1:19" ht="25.5" x14ac:dyDescent="0.2">
      <c r="A19" s="73" t="s">
        <v>116</v>
      </c>
      <c r="B19" s="73" t="s">
        <v>39</v>
      </c>
      <c r="C19" s="67" t="s">
        <v>117</v>
      </c>
      <c r="D19" s="67" t="s">
        <v>118</v>
      </c>
      <c r="E19" s="76">
        <v>8</v>
      </c>
      <c r="F19" s="28">
        <v>8</v>
      </c>
      <c r="G19" s="79">
        <v>8</v>
      </c>
      <c r="H19" s="22">
        <v>8</v>
      </c>
      <c r="I19" s="80">
        <v>8</v>
      </c>
      <c r="J19" s="87">
        <v>8</v>
      </c>
      <c r="K19" s="22">
        <v>8</v>
      </c>
      <c r="L19" s="78">
        <v>8</v>
      </c>
      <c r="M19" s="29">
        <v>8</v>
      </c>
      <c r="N19" s="22">
        <v>8</v>
      </c>
      <c r="O19" s="87">
        <v>6</v>
      </c>
      <c r="P19" s="22">
        <v>4</v>
      </c>
      <c r="Q19" s="22">
        <v>2</v>
      </c>
      <c r="R19" s="87">
        <v>0</v>
      </c>
      <c r="S19" s="24">
        <v>0</v>
      </c>
    </row>
    <row r="20" spans="1:19" x14ac:dyDescent="0.2">
      <c r="A20" s="29" t="s">
        <v>119</v>
      </c>
      <c r="B20" s="29" t="s">
        <v>39</v>
      </c>
      <c r="C20" s="30" t="s">
        <v>120</v>
      </c>
      <c r="D20" s="30" t="s">
        <v>19</v>
      </c>
      <c r="E20" s="75">
        <v>10</v>
      </c>
      <c r="F20" s="28">
        <v>10</v>
      </c>
      <c r="G20" s="22">
        <v>10</v>
      </c>
      <c r="H20" s="24">
        <v>10</v>
      </c>
      <c r="I20" s="24">
        <v>10</v>
      </c>
      <c r="J20" s="22">
        <v>10</v>
      </c>
      <c r="K20" s="88">
        <v>10</v>
      </c>
      <c r="L20" s="22">
        <v>10</v>
      </c>
      <c r="M20" s="29">
        <v>10</v>
      </c>
      <c r="N20" s="83">
        <v>8</v>
      </c>
      <c r="O20" s="22">
        <v>0</v>
      </c>
      <c r="P20" s="88">
        <v>0</v>
      </c>
      <c r="Q20" s="92">
        <v>0</v>
      </c>
      <c r="R20" s="22">
        <v>0</v>
      </c>
      <c r="S20" s="22">
        <v>0</v>
      </c>
    </row>
    <row r="21" spans="1:19" x14ac:dyDescent="0.2">
      <c r="A21" s="29" t="s">
        <v>121</v>
      </c>
      <c r="B21" s="29" t="s">
        <v>39</v>
      </c>
      <c r="C21" s="30" t="s">
        <v>122</v>
      </c>
      <c r="D21" s="30" t="s">
        <v>107</v>
      </c>
      <c r="E21" s="75">
        <v>6</v>
      </c>
      <c r="F21" s="28">
        <v>6</v>
      </c>
      <c r="G21" s="83">
        <v>6</v>
      </c>
      <c r="H21" s="22">
        <v>6</v>
      </c>
      <c r="I21" s="22">
        <v>6</v>
      </c>
      <c r="J21" s="82">
        <v>6</v>
      </c>
      <c r="K21" s="78">
        <v>6</v>
      </c>
      <c r="L21" s="78">
        <v>6</v>
      </c>
      <c r="M21" s="89">
        <v>6</v>
      </c>
      <c r="N21" s="87">
        <v>6</v>
      </c>
      <c r="O21" s="22">
        <v>6</v>
      </c>
      <c r="P21" s="88">
        <v>4</v>
      </c>
      <c r="Q21" s="78">
        <v>2</v>
      </c>
      <c r="R21" s="22">
        <v>0</v>
      </c>
      <c r="S21" s="22">
        <v>0</v>
      </c>
    </row>
    <row r="22" spans="1:19" ht="25.5" x14ac:dyDescent="0.2">
      <c r="A22" s="29" t="s">
        <v>123</v>
      </c>
      <c r="B22" s="29" t="s">
        <v>67</v>
      </c>
      <c r="C22" s="30" t="s">
        <v>124</v>
      </c>
      <c r="D22" s="30" t="s">
        <v>118</v>
      </c>
      <c r="E22" s="27">
        <v>4</v>
      </c>
      <c r="F22" s="85">
        <v>4</v>
      </c>
      <c r="G22" s="22">
        <v>4</v>
      </c>
      <c r="H22" s="86">
        <v>4</v>
      </c>
      <c r="I22" s="22">
        <v>4</v>
      </c>
      <c r="J22" s="87">
        <v>4</v>
      </c>
      <c r="K22" s="24">
        <v>4</v>
      </c>
      <c r="L22" s="78">
        <v>4</v>
      </c>
      <c r="M22" s="90">
        <v>4</v>
      </c>
      <c r="N22" s="22">
        <v>4</v>
      </c>
      <c r="O22" s="88">
        <v>4</v>
      </c>
      <c r="P22" s="22">
        <v>4</v>
      </c>
      <c r="Q22" s="87">
        <v>2</v>
      </c>
      <c r="R22" s="24">
        <v>0</v>
      </c>
      <c r="S22" s="83">
        <v>0</v>
      </c>
    </row>
    <row r="23" spans="1:19" ht="26.25" thickBot="1" x14ac:dyDescent="0.25">
      <c r="A23" s="70" t="s">
        <v>125</v>
      </c>
      <c r="B23" s="74" t="s">
        <v>67</v>
      </c>
      <c r="C23" s="71" t="s">
        <v>126</v>
      </c>
      <c r="D23" s="71" t="s">
        <v>118</v>
      </c>
      <c r="E23" s="72">
        <v>6</v>
      </c>
      <c r="F23" s="57">
        <v>6</v>
      </c>
      <c r="G23" s="77">
        <v>6</v>
      </c>
      <c r="H23" s="77">
        <v>6</v>
      </c>
      <c r="I23" s="77">
        <v>6</v>
      </c>
      <c r="J23" s="25">
        <v>6</v>
      </c>
      <c r="K23" s="25">
        <v>6</v>
      </c>
      <c r="L23" s="91">
        <v>6</v>
      </c>
      <c r="M23" s="66">
        <v>6</v>
      </c>
      <c r="N23" s="25">
        <v>6</v>
      </c>
      <c r="O23" s="25">
        <v>6</v>
      </c>
      <c r="P23" s="25">
        <v>4</v>
      </c>
      <c r="Q23" s="25">
        <v>2</v>
      </c>
      <c r="R23" s="25">
        <v>0</v>
      </c>
      <c r="S23" s="77">
        <v>0</v>
      </c>
    </row>
    <row r="24" spans="1:19" x14ac:dyDescent="0.2">
      <c r="M24" s="4"/>
      <c r="N24" s="4"/>
      <c r="O24" s="4"/>
      <c r="P24" s="4"/>
      <c r="Q24" s="4"/>
      <c r="R24" s="4"/>
      <c r="S24" s="4"/>
    </row>
    <row r="25" spans="1:19" x14ac:dyDescent="0.2">
      <c r="C25" s="12" t="s">
        <v>127</v>
      </c>
      <c r="D25" s="53"/>
      <c r="E25" s="110">
        <v>104</v>
      </c>
      <c r="F25" s="9">
        <f t="shared" ref="F25:S25" si="1">SUM(F11:F24)</f>
        <v>104</v>
      </c>
      <c r="G25" s="9">
        <f t="shared" si="1"/>
        <v>101</v>
      </c>
      <c r="H25" s="9">
        <f t="shared" si="1"/>
        <v>97</v>
      </c>
      <c r="I25" s="9">
        <f t="shared" si="1"/>
        <v>87</v>
      </c>
      <c r="J25" s="9">
        <f t="shared" si="1"/>
        <v>77</v>
      </c>
      <c r="K25" s="9">
        <f t="shared" si="1"/>
        <v>70</v>
      </c>
      <c r="L25" s="9">
        <f t="shared" si="1"/>
        <v>62</v>
      </c>
      <c r="M25" s="9">
        <f t="shared" si="1"/>
        <v>56</v>
      </c>
      <c r="N25" s="9">
        <f t="shared" si="1"/>
        <v>48</v>
      </c>
      <c r="O25" s="9">
        <f t="shared" si="1"/>
        <v>28</v>
      </c>
      <c r="P25" s="9">
        <f t="shared" si="1"/>
        <v>18</v>
      </c>
      <c r="Q25" s="9">
        <f t="shared" si="1"/>
        <v>8</v>
      </c>
      <c r="R25" s="9">
        <f t="shared" si="1"/>
        <v>0</v>
      </c>
      <c r="S25" s="9">
        <f t="shared" si="1"/>
        <v>0</v>
      </c>
    </row>
    <row r="26" spans="1:19" x14ac:dyDescent="0.2">
      <c r="C26" s="12" t="s">
        <v>128</v>
      </c>
      <c r="D26" s="54"/>
      <c r="E26" s="111"/>
      <c r="F26" s="10">
        <f>SUM($E$11:$E$24)</f>
        <v>104</v>
      </c>
      <c r="G26" s="10">
        <f t="shared" ref="G26:S26" si="2">F26-($E$25/14)</f>
        <v>96.571428571428569</v>
      </c>
      <c r="H26" s="10">
        <f t="shared" si="2"/>
        <v>89.142857142857139</v>
      </c>
      <c r="I26" s="10">
        <f t="shared" si="2"/>
        <v>81.714285714285708</v>
      </c>
      <c r="J26" s="10">
        <f t="shared" si="2"/>
        <v>74.285714285714278</v>
      </c>
      <c r="K26" s="10">
        <f t="shared" si="2"/>
        <v>66.857142857142847</v>
      </c>
      <c r="L26" s="10">
        <f t="shared" si="2"/>
        <v>59.428571428571416</v>
      </c>
      <c r="M26" s="10">
        <f t="shared" si="2"/>
        <v>51.999999999999986</v>
      </c>
      <c r="N26" s="10">
        <f t="shared" si="2"/>
        <v>44.571428571428555</v>
      </c>
      <c r="O26" s="10">
        <f t="shared" si="2"/>
        <v>37.142857142857125</v>
      </c>
      <c r="P26" s="10">
        <f t="shared" si="2"/>
        <v>29.714285714285694</v>
      </c>
      <c r="Q26" s="10">
        <f t="shared" si="2"/>
        <v>22.285714285714263</v>
      </c>
      <c r="R26" s="10">
        <f t="shared" si="2"/>
        <v>14.857142857142835</v>
      </c>
      <c r="S26" s="10">
        <f t="shared" si="2"/>
        <v>7.4285714285714057</v>
      </c>
    </row>
    <row r="27" spans="1:19" x14ac:dyDescent="0.2">
      <c r="M27" s="4"/>
      <c r="N27" s="4"/>
      <c r="O27" s="4"/>
      <c r="P27" s="4"/>
      <c r="Q27" s="4"/>
      <c r="R27" s="4"/>
      <c r="S27" s="4"/>
    </row>
    <row r="28" spans="1:19" x14ac:dyDescent="0.2">
      <c r="M28" s="4"/>
      <c r="N28" s="4"/>
      <c r="O28" s="4"/>
      <c r="P28" s="4"/>
      <c r="Q28" s="4"/>
      <c r="R28" s="4"/>
      <c r="S28" s="4"/>
    </row>
    <row r="29" spans="1:19" x14ac:dyDescent="0.2">
      <c r="M29" s="4"/>
      <c r="N29" s="4"/>
      <c r="O29" s="4"/>
      <c r="P29" s="4"/>
      <c r="Q29" s="4"/>
      <c r="R29" s="4"/>
      <c r="S29" s="4"/>
    </row>
    <row r="30" spans="1:19" x14ac:dyDescent="0.2">
      <c r="M30" s="4"/>
      <c r="N30" s="4"/>
      <c r="O30" s="4"/>
      <c r="P30" s="4"/>
      <c r="Q30" s="4"/>
      <c r="R30" s="4"/>
      <c r="S30" s="4"/>
    </row>
    <row r="31" spans="1:19" x14ac:dyDescent="0.2">
      <c r="K31" s="7"/>
      <c r="M31" s="4"/>
      <c r="N31" s="4"/>
      <c r="O31" s="4"/>
      <c r="P31" s="4"/>
      <c r="Q31" s="4"/>
      <c r="R31" s="7"/>
      <c r="S31" s="4"/>
    </row>
    <row r="32" spans="1:19" x14ac:dyDescent="0.2">
      <c r="K32" s="7"/>
      <c r="L32" s="7"/>
      <c r="M32" s="4"/>
      <c r="N32" s="4"/>
      <c r="O32" s="4"/>
      <c r="P32" s="4"/>
      <c r="Q32" s="4"/>
      <c r="R32" s="7"/>
      <c r="S32" s="7"/>
    </row>
    <row r="33" spans="13:19" x14ac:dyDescent="0.2">
      <c r="M33" s="4"/>
      <c r="N33" s="4"/>
      <c r="O33" s="4"/>
      <c r="P33" s="4"/>
      <c r="Q33" s="4"/>
      <c r="R33" s="4"/>
      <c r="S33" s="4"/>
    </row>
    <row r="34" spans="13:19" x14ac:dyDescent="0.2">
      <c r="M34" s="4"/>
      <c r="N34" s="4"/>
      <c r="O34" s="4"/>
      <c r="P34" s="4"/>
      <c r="Q34" s="4"/>
      <c r="R34" s="4"/>
      <c r="S34" s="4"/>
    </row>
    <row r="35" spans="13:19" x14ac:dyDescent="0.2">
      <c r="M35" s="4"/>
      <c r="N35" s="4"/>
      <c r="O35" s="4"/>
      <c r="P35" s="4"/>
      <c r="Q35" s="4"/>
      <c r="R35" s="4"/>
      <c r="S35" s="4"/>
    </row>
    <row r="36" spans="13:19" x14ac:dyDescent="0.2">
      <c r="M36" s="4"/>
      <c r="N36" s="4"/>
      <c r="O36" s="4"/>
      <c r="P36" s="4"/>
      <c r="Q36" s="4"/>
      <c r="R36" s="4"/>
      <c r="S36" s="4"/>
    </row>
    <row r="37" spans="13:19" x14ac:dyDescent="0.2">
      <c r="M37" s="4"/>
      <c r="N37" s="4"/>
      <c r="O37" s="4"/>
      <c r="P37" s="4"/>
      <c r="Q37" s="4"/>
      <c r="R37" s="4"/>
      <c r="S37" s="4"/>
    </row>
    <row r="38" spans="13:19" x14ac:dyDescent="0.2">
      <c r="M38" s="4"/>
      <c r="N38" s="4"/>
      <c r="O38" s="4"/>
      <c r="P38" s="4"/>
      <c r="Q38" s="4"/>
      <c r="R38" s="4"/>
      <c r="S38" s="4"/>
    </row>
    <row r="39" spans="13:19" x14ac:dyDescent="0.2">
      <c r="M39" s="4"/>
      <c r="N39" s="4"/>
      <c r="O39" s="4"/>
      <c r="P39" s="4"/>
      <c r="Q39" s="4"/>
      <c r="R39" s="4"/>
      <c r="S39" s="4"/>
    </row>
    <row r="40" spans="13:19" x14ac:dyDescent="0.2">
      <c r="M40" s="4"/>
      <c r="N40" s="4"/>
      <c r="O40" s="4"/>
      <c r="P40" s="4"/>
      <c r="Q40" s="4"/>
      <c r="R40" s="4"/>
      <c r="S40" s="4"/>
    </row>
    <row r="41" spans="13:19" x14ac:dyDescent="0.2">
      <c r="M41" s="4"/>
      <c r="N41" s="4"/>
      <c r="O41" s="4"/>
      <c r="P41" s="4"/>
      <c r="Q41" s="4"/>
      <c r="R41" s="4"/>
      <c r="S41" s="4"/>
    </row>
    <row r="42" spans="13:19" x14ac:dyDescent="0.2">
      <c r="M42" s="4"/>
      <c r="N42" s="4"/>
      <c r="O42" s="4"/>
      <c r="P42" s="4"/>
      <c r="Q42" s="4"/>
      <c r="R42" s="4"/>
      <c r="S42" s="4"/>
    </row>
    <row r="43" spans="13:19" x14ac:dyDescent="0.2">
      <c r="M43" s="4"/>
      <c r="N43" s="4"/>
      <c r="O43" s="4"/>
      <c r="P43" s="4"/>
      <c r="Q43" s="4"/>
      <c r="R43" s="4"/>
      <c r="S43" s="4"/>
    </row>
    <row r="44" spans="13:19" x14ac:dyDescent="0.2">
      <c r="M44" s="4"/>
      <c r="N44" s="4"/>
      <c r="O44" s="4"/>
      <c r="P44" s="4"/>
      <c r="Q44" s="4"/>
      <c r="R44" s="4"/>
      <c r="S44" s="4"/>
    </row>
    <row r="45" spans="13:19" x14ac:dyDescent="0.2">
      <c r="M45" s="4"/>
      <c r="N45" s="4"/>
      <c r="O45" s="4"/>
      <c r="P45" s="4"/>
      <c r="Q45" s="4"/>
      <c r="R45" s="4"/>
      <c r="S45" s="4"/>
    </row>
    <row r="46" spans="13:19" x14ac:dyDescent="0.2">
      <c r="M46" s="4"/>
      <c r="N46" s="4"/>
      <c r="O46" s="4"/>
      <c r="P46" s="4"/>
      <c r="Q46" s="4"/>
      <c r="R46" s="4"/>
      <c r="S46" s="4"/>
    </row>
    <row r="47" spans="13:19" x14ac:dyDescent="0.2">
      <c r="M47" s="4"/>
      <c r="N47" s="4"/>
      <c r="O47" s="4"/>
      <c r="P47" s="4"/>
      <c r="Q47" s="4"/>
      <c r="R47" s="4"/>
      <c r="S47" s="4"/>
    </row>
    <row r="48" spans="13:19" x14ac:dyDescent="0.2">
      <c r="M48" s="4"/>
      <c r="N48" s="4"/>
      <c r="O48" s="4"/>
      <c r="P48" s="4"/>
      <c r="Q48" s="4"/>
      <c r="R48" s="4"/>
      <c r="S48" s="4"/>
    </row>
    <row r="49" spans="13:19" x14ac:dyDescent="0.2">
      <c r="M49" s="4"/>
      <c r="N49" s="4"/>
      <c r="O49" s="4"/>
      <c r="P49" s="4"/>
      <c r="Q49" s="4"/>
      <c r="R49" s="4"/>
      <c r="S49" s="4"/>
    </row>
  </sheetData>
  <sheetProtection formatCells="0" formatColumns="0" formatRows="0" insertRows="0" autoFilter="0"/>
  <autoFilter ref="A10:E10" xr:uid="{00000000-0009-0000-0000-000002000000}"/>
  <mergeCells count="5">
    <mergeCell ref="A2:L2"/>
    <mergeCell ref="E4:J4"/>
    <mergeCell ref="F8:L8"/>
    <mergeCell ref="M8:S8"/>
    <mergeCell ref="E25:E26"/>
  </mergeCells>
  <conditionalFormatting sqref="F25:S25">
    <cfRule type="cellIs" dxfId="3" priority="1" stopIfTrue="1" operator="lessThan">
      <formula>F26</formula>
    </cfRule>
    <cfRule type="cellIs" dxfId="2" priority="2" stopIfTrue="1" operator="greaterThan">
      <formula>F26</formula>
    </cfRule>
  </conditionalFormatting>
  <pageMargins left="0.75" right="0.75" top="1" bottom="1" header="0.5" footer="0.5"/>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CBEFA-189F-463E-82F1-D402C5EC0D1D}">
  <dimension ref="A2:S45"/>
  <sheetViews>
    <sheetView workbookViewId="0">
      <selection activeCell="A2" sqref="A2"/>
    </sheetView>
  </sheetViews>
  <sheetFormatPr defaultColWidth="11.42578125" defaultRowHeight="12.75" x14ac:dyDescent="0.2"/>
  <cols>
    <col min="1" max="1" width="9.7109375" style="5" bestFit="1" customWidth="1"/>
    <col min="2" max="2" width="10.28515625" style="5" bestFit="1" customWidth="1"/>
    <col min="3" max="3" width="33.85546875" style="6" customWidth="1"/>
    <col min="4" max="4" width="21.140625" style="6" customWidth="1"/>
    <col min="5" max="5" width="10.42578125" style="4" customWidth="1"/>
    <col min="6" max="12" width="11.42578125" style="4" customWidth="1"/>
    <col min="13" max="16384" width="11.42578125" style="5"/>
  </cols>
  <sheetData>
    <row r="2" spans="1:19" customFormat="1" ht="43.5" customHeight="1" x14ac:dyDescent="0.2">
      <c r="A2" s="103" t="str">
        <f>CONCATENATE("Sprint #",E5, "Tracking Sheet")</f>
        <v>Sprint #2Tracking Sheet</v>
      </c>
      <c r="B2" s="103"/>
      <c r="C2" s="103"/>
      <c r="D2" s="103"/>
      <c r="E2" s="103"/>
      <c r="F2" s="103"/>
      <c r="G2" s="103"/>
      <c r="H2" s="103"/>
      <c r="I2" s="103"/>
      <c r="J2" s="103"/>
      <c r="K2" s="103"/>
      <c r="L2" s="103"/>
    </row>
    <row r="4" spans="1:19" customFormat="1" x14ac:dyDescent="0.2">
      <c r="A4" s="2"/>
      <c r="B4" s="5"/>
      <c r="C4" s="33" t="s">
        <v>16</v>
      </c>
      <c r="D4" s="50"/>
      <c r="E4" s="104" t="s">
        <v>17</v>
      </c>
      <c r="F4" s="105"/>
      <c r="G4" s="105"/>
      <c r="H4" s="105"/>
      <c r="I4" s="105"/>
      <c r="J4" s="106"/>
    </row>
    <row r="5" spans="1:19" x14ac:dyDescent="0.2">
      <c r="C5" s="11" t="s">
        <v>29</v>
      </c>
      <c r="D5" s="11"/>
      <c r="E5" s="22">
        <v>2</v>
      </c>
    </row>
    <row r="6" spans="1:19" x14ac:dyDescent="0.2">
      <c r="C6" s="11" t="s">
        <v>91</v>
      </c>
      <c r="D6" s="11"/>
      <c r="E6" s="23">
        <v>46188</v>
      </c>
    </row>
    <row r="7" spans="1:19" ht="13.5" thickBot="1" x14ac:dyDescent="0.25">
      <c r="C7" s="3"/>
      <c r="D7" s="11" t="s">
        <v>92</v>
      </c>
      <c r="E7" s="22">
        <v>5</v>
      </c>
    </row>
    <row r="8" spans="1:19" ht="13.5" thickBot="1" x14ac:dyDescent="0.25">
      <c r="F8" s="107" t="s">
        <v>93</v>
      </c>
      <c r="G8" s="108"/>
      <c r="H8" s="108"/>
      <c r="I8" s="108"/>
      <c r="J8" s="108"/>
      <c r="K8" s="108"/>
      <c r="L8" s="109"/>
      <c r="M8" s="107" t="s">
        <v>94</v>
      </c>
      <c r="N8" s="108"/>
      <c r="O8" s="108"/>
      <c r="P8" s="108"/>
      <c r="Q8" s="108"/>
      <c r="R8" s="108"/>
      <c r="S8" s="109"/>
    </row>
    <row r="9" spans="1:19" ht="12.75" customHeight="1" thickBot="1" x14ac:dyDescent="0.25">
      <c r="F9" s="55">
        <v>1</v>
      </c>
      <c r="G9" s="56">
        <v>2</v>
      </c>
      <c r="H9" s="55">
        <v>3</v>
      </c>
      <c r="I9" s="56">
        <v>4</v>
      </c>
      <c r="J9" s="55">
        <v>5</v>
      </c>
      <c r="K9" s="56">
        <v>6</v>
      </c>
      <c r="L9" s="55">
        <v>7</v>
      </c>
      <c r="M9" s="56">
        <v>8</v>
      </c>
      <c r="N9" s="55">
        <v>9</v>
      </c>
      <c r="O9" s="56">
        <v>10</v>
      </c>
      <c r="P9" s="55">
        <v>11</v>
      </c>
      <c r="Q9" s="56">
        <v>12</v>
      </c>
      <c r="R9" s="55">
        <v>13</v>
      </c>
      <c r="S9" s="56">
        <v>14</v>
      </c>
    </row>
    <row r="10" spans="1:19" s="3" customFormat="1" ht="27" customHeight="1" x14ac:dyDescent="0.2">
      <c r="A10" s="17" t="s">
        <v>95</v>
      </c>
      <c r="B10" s="19" t="s">
        <v>96</v>
      </c>
      <c r="C10" s="18" t="s">
        <v>26</v>
      </c>
      <c r="D10" s="51" t="s">
        <v>30</v>
      </c>
      <c r="E10" s="20" t="s">
        <v>97</v>
      </c>
      <c r="F10" s="26">
        <f>E6</f>
        <v>46188</v>
      </c>
      <c r="G10" s="21">
        <f>F10+1</f>
        <v>46189</v>
      </c>
      <c r="H10" s="21">
        <f t="shared" ref="H10:L10" si="0">G10+1</f>
        <v>46190</v>
      </c>
      <c r="I10" s="21">
        <f t="shared" si="0"/>
        <v>46191</v>
      </c>
      <c r="J10" s="21">
        <f t="shared" si="0"/>
        <v>46192</v>
      </c>
      <c r="K10" s="21">
        <f t="shared" si="0"/>
        <v>46193</v>
      </c>
      <c r="L10" s="21">
        <f t="shared" si="0"/>
        <v>46194</v>
      </c>
      <c r="M10" s="21">
        <f t="shared" ref="M10" si="1">L10+1</f>
        <v>46195</v>
      </c>
      <c r="N10" s="21">
        <f t="shared" ref="N10" si="2">M10+1</f>
        <v>46196</v>
      </c>
      <c r="O10" s="21">
        <f t="shared" ref="O10" si="3">N10+1</f>
        <v>46197</v>
      </c>
      <c r="P10" s="21">
        <f t="shared" ref="P10" si="4">O10+1</f>
        <v>46198</v>
      </c>
      <c r="Q10" s="21">
        <f t="shared" ref="Q10" si="5">P10+1</f>
        <v>46199</v>
      </c>
      <c r="R10" s="21">
        <f t="shared" ref="R10" si="6">Q10+1</f>
        <v>46200</v>
      </c>
      <c r="S10" s="21">
        <f t="shared" ref="S10" si="7">R10+1</f>
        <v>46201</v>
      </c>
    </row>
    <row r="11" spans="1:19" s="32" customFormat="1" ht="25.5" x14ac:dyDescent="0.2">
      <c r="A11" s="28" t="s">
        <v>129</v>
      </c>
      <c r="B11" s="29" t="s">
        <v>43</v>
      </c>
      <c r="C11" s="30" t="s">
        <v>130</v>
      </c>
      <c r="D11" s="52" t="s">
        <v>100</v>
      </c>
      <c r="E11" s="27">
        <v>6</v>
      </c>
      <c r="F11" s="31">
        <v>6</v>
      </c>
      <c r="G11" s="31">
        <v>5</v>
      </c>
      <c r="H11" s="31">
        <v>3</v>
      </c>
      <c r="I11" s="31">
        <v>0</v>
      </c>
      <c r="J11" s="29">
        <v>0</v>
      </c>
      <c r="K11" s="29">
        <v>0</v>
      </c>
      <c r="L11" s="29">
        <v>0</v>
      </c>
      <c r="M11" s="31">
        <v>0</v>
      </c>
      <c r="N11" s="31">
        <v>0</v>
      </c>
      <c r="O11" s="31">
        <v>0</v>
      </c>
      <c r="P11" s="31">
        <v>0</v>
      </c>
      <c r="Q11" s="29">
        <v>0</v>
      </c>
      <c r="R11" s="29">
        <v>0</v>
      </c>
      <c r="S11" s="29">
        <v>0</v>
      </c>
    </row>
    <row r="12" spans="1:19" s="32" customFormat="1" ht="25.5" x14ac:dyDescent="0.2">
      <c r="A12" s="28" t="s">
        <v>131</v>
      </c>
      <c r="B12" s="29" t="s">
        <v>43</v>
      </c>
      <c r="C12" s="30" t="s">
        <v>132</v>
      </c>
      <c r="D12" s="52" t="s">
        <v>133</v>
      </c>
      <c r="E12" s="27">
        <v>10</v>
      </c>
      <c r="F12" s="31">
        <v>10</v>
      </c>
      <c r="G12" s="31">
        <v>10</v>
      </c>
      <c r="H12" s="31">
        <v>8</v>
      </c>
      <c r="I12" s="31">
        <v>6</v>
      </c>
      <c r="J12" s="29">
        <v>3</v>
      </c>
      <c r="K12" s="29">
        <v>0</v>
      </c>
      <c r="L12" s="29">
        <v>0</v>
      </c>
      <c r="M12" s="31">
        <v>0</v>
      </c>
      <c r="N12" s="31">
        <v>0</v>
      </c>
      <c r="O12" s="31">
        <v>0</v>
      </c>
      <c r="P12" s="31">
        <v>0</v>
      </c>
      <c r="Q12" s="29">
        <v>0</v>
      </c>
      <c r="R12" s="29">
        <v>0</v>
      </c>
      <c r="S12" s="29">
        <v>0</v>
      </c>
    </row>
    <row r="13" spans="1:19" s="32" customFormat="1" x14ac:dyDescent="0.2">
      <c r="A13" s="28" t="s">
        <v>134</v>
      </c>
      <c r="B13" s="29" t="s">
        <v>43</v>
      </c>
      <c r="C13" s="30" t="s">
        <v>135</v>
      </c>
      <c r="D13" s="52" t="s">
        <v>107</v>
      </c>
      <c r="E13" s="27">
        <v>8</v>
      </c>
      <c r="F13" s="31">
        <v>8</v>
      </c>
      <c r="G13" s="29">
        <v>8</v>
      </c>
      <c r="H13" s="29">
        <v>8</v>
      </c>
      <c r="I13" s="29">
        <v>6</v>
      </c>
      <c r="J13" s="29">
        <v>4</v>
      </c>
      <c r="K13" s="29">
        <v>0</v>
      </c>
      <c r="L13" s="29">
        <v>0</v>
      </c>
      <c r="M13" s="31">
        <v>0</v>
      </c>
      <c r="N13" s="29">
        <v>0</v>
      </c>
      <c r="O13" s="29">
        <v>0</v>
      </c>
      <c r="P13" s="29">
        <v>0</v>
      </c>
      <c r="Q13" s="29">
        <v>0</v>
      </c>
      <c r="R13" s="29">
        <v>0</v>
      </c>
      <c r="S13" s="29">
        <v>0</v>
      </c>
    </row>
    <row r="14" spans="1:19" s="32" customFormat="1" ht="25.5" x14ac:dyDescent="0.2">
      <c r="A14" s="28" t="s">
        <v>136</v>
      </c>
      <c r="B14" s="29" t="s">
        <v>43</v>
      </c>
      <c r="C14" s="30" t="s">
        <v>137</v>
      </c>
      <c r="D14" s="52" t="s">
        <v>100</v>
      </c>
      <c r="E14" s="27">
        <v>12</v>
      </c>
      <c r="F14" s="31">
        <v>12</v>
      </c>
      <c r="G14" s="29">
        <v>12</v>
      </c>
      <c r="H14" s="29">
        <v>12</v>
      </c>
      <c r="I14" s="29">
        <v>12</v>
      </c>
      <c r="J14" s="29">
        <v>10</v>
      </c>
      <c r="K14" s="29">
        <v>8</v>
      </c>
      <c r="L14" s="29">
        <v>5</v>
      </c>
      <c r="M14" s="31">
        <v>2</v>
      </c>
      <c r="N14" s="29">
        <v>0</v>
      </c>
      <c r="O14" s="29">
        <v>0</v>
      </c>
      <c r="P14" s="29">
        <v>0</v>
      </c>
      <c r="Q14" s="29">
        <v>0</v>
      </c>
      <c r="R14" s="29">
        <v>0</v>
      </c>
      <c r="S14" s="29">
        <v>0</v>
      </c>
    </row>
    <row r="15" spans="1:19" s="32" customFormat="1" ht="25.5" x14ac:dyDescent="0.2">
      <c r="A15" s="28" t="s">
        <v>138</v>
      </c>
      <c r="B15" s="29" t="s">
        <v>47</v>
      </c>
      <c r="C15" s="30" t="s">
        <v>139</v>
      </c>
      <c r="D15" s="52" t="s">
        <v>100</v>
      </c>
      <c r="E15" s="27">
        <v>14</v>
      </c>
      <c r="F15" s="31">
        <v>14</v>
      </c>
      <c r="G15" s="29">
        <v>14</v>
      </c>
      <c r="H15" s="29">
        <v>14</v>
      </c>
      <c r="I15" s="29">
        <v>14</v>
      </c>
      <c r="J15" s="29">
        <v>14</v>
      </c>
      <c r="K15" s="29">
        <v>12</v>
      </c>
      <c r="L15" s="29">
        <v>10</v>
      </c>
      <c r="M15" s="31">
        <v>8</v>
      </c>
      <c r="N15" s="29">
        <v>5</v>
      </c>
      <c r="O15" s="29">
        <v>2</v>
      </c>
      <c r="P15" s="29">
        <v>0</v>
      </c>
      <c r="Q15" s="29">
        <v>0</v>
      </c>
      <c r="R15" s="29">
        <v>0</v>
      </c>
      <c r="S15" s="29">
        <v>0</v>
      </c>
    </row>
    <row r="16" spans="1:19" s="32" customFormat="1" ht="25.5" x14ac:dyDescent="0.2">
      <c r="A16" s="28" t="s">
        <v>140</v>
      </c>
      <c r="B16" s="29" t="s">
        <v>47</v>
      </c>
      <c r="C16" s="30" t="s">
        <v>141</v>
      </c>
      <c r="D16" s="52" t="s">
        <v>107</v>
      </c>
      <c r="E16" s="27">
        <v>8</v>
      </c>
      <c r="F16" s="31">
        <v>8</v>
      </c>
      <c r="G16" s="29">
        <v>8</v>
      </c>
      <c r="H16" s="29">
        <v>8</v>
      </c>
      <c r="I16" s="29">
        <v>8</v>
      </c>
      <c r="J16" s="29">
        <v>8</v>
      </c>
      <c r="K16" s="29">
        <v>8</v>
      </c>
      <c r="L16" s="29">
        <v>8</v>
      </c>
      <c r="M16" s="31">
        <v>6</v>
      </c>
      <c r="N16" s="29">
        <v>4</v>
      </c>
      <c r="O16" s="29">
        <v>2</v>
      </c>
      <c r="P16" s="29">
        <v>0</v>
      </c>
      <c r="Q16" s="29">
        <v>0</v>
      </c>
      <c r="R16" s="29">
        <v>0</v>
      </c>
      <c r="S16" s="29">
        <v>0</v>
      </c>
    </row>
    <row r="17" spans="1:19" s="8" customFormat="1" ht="25.5" x14ac:dyDescent="0.2">
      <c r="A17" s="28" t="s">
        <v>142</v>
      </c>
      <c r="B17" s="29" t="s">
        <v>47</v>
      </c>
      <c r="C17" s="67" t="s">
        <v>143</v>
      </c>
      <c r="D17" s="68" t="s">
        <v>100</v>
      </c>
      <c r="E17" s="27">
        <v>6</v>
      </c>
      <c r="F17" s="31">
        <v>6</v>
      </c>
      <c r="G17" s="24">
        <v>6</v>
      </c>
      <c r="H17" s="24">
        <v>6</v>
      </c>
      <c r="I17" s="24">
        <v>6</v>
      </c>
      <c r="J17" s="24">
        <v>6</v>
      </c>
      <c r="K17" s="24">
        <v>6</v>
      </c>
      <c r="L17" s="24">
        <v>6</v>
      </c>
      <c r="M17" s="31">
        <v>6</v>
      </c>
      <c r="N17" s="24">
        <v>6</v>
      </c>
      <c r="O17" s="24">
        <v>4</v>
      </c>
      <c r="P17" s="24">
        <v>2</v>
      </c>
      <c r="Q17" s="24">
        <v>0</v>
      </c>
      <c r="R17" s="24">
        <v>0</v>
      </c>
      <c r="S17" s="24">
        <v>0</v>
      </c>
    </row>
    <row r="18" spans="1:19" s="8" customFormat="1" ht="25.5" x14ac:dyDescent="0.2">
      <c r="A18" s="63" t="s">
        <v>144</v>
      </c>
      <c r="B18" s="73" t="s">
        <v>51</v>
      </c>
      <c r="C18" s="67" t="s">
        <v>145</v>
      </c>
      <c r="D18" s="67" t="s">
        <v>118</v>
      </c>
      <c r="E18" s="64">
        <v>10</v>
      </c>
      <c r="F18" s="63">
        <v>10</v>
      </c>
      <c r="G18" s="22">
        <v>10</v>
      </c>
      <c r="H18" s="22">
        <v>10</v>
      </c>
      <c r="I18" s="24">
        <v>10</v>
      </c>
      <c r="J18" s="24">
        <v>10</v>
      </c>
      <c r="K18" s="24">
        <v>10</v>
      </c>
      <c r="L18" s="92">
        <v>10</v>
      </c>
      <c r="M18" s="73">
        <v>10</v>
      </c>
      <c r="N18" s="22">
        <v>8</v>
      </c>
      <c r="O18" s="24">
        <v>6</v>
      </c>
      <c r="P18" s="24">
        <v>4</v>
      </c>
      <c r="Q18" s="24">
        <v>2</v>
      </c>
      <c r="R18" s="24">
        <v>0</v>
      </c>
      <c r="S18" s="22">
        <v>0</v>
      </c>
    </row>
    <row r="19" spans="1:19" ht="13.5" thickBot="1" x14ac:dyDescent="0.25">
      <c r="A19" s="57" t="s">
        <v>146</v>
      </c>
      <c r="B19" s="66" t="s">
        <v>51</v>
      </c>
      <c r="C19" s="69" t="s">
        <v>147</v>
      </c>
      <c r="D19" s="69" t="s">
        <v>118</v>
      </c>
      <c r="E19" s="58">
        <v>10</v>
      </c>
      <c r="F19" s="57">
        <v>10</v>
      </c>
      <c r="G19" s="77">
        <v>10</v>
      </c>
      <c r="H19" s="77">
        <v>10</v>
      </c>
      <c r="I19" s="25">
        <v>10</v>
      </c>
      <c r="J19" s="25">
        <v>10</v>
      </c>
      <c r="K19" s="25">
        <v>10</v>
      </c>
      <c r="L19" s="84">
        <v>10</v>
      </c>
      <c r="M19" s="66">
        <v>10</v>
      </c>
      <c r="N19" s="77">
        <v>8</v>
      </c>
      <c r="O19" s="25">
        <v>6</v>
      </c>
      <c r="P19" s="25">
        <v>4</v>
      </c>
      <c r="Q19" s="25">
        <v>2</v>
      </c>
      <c r="R19" s="25">
        <v>0</v>
      </c>
      <c r="S19" s="77">
        <v>0</v>
      </c>
    </row>
    <row r="20" spans="1:19" x14ac:dyDescent="0.2">
      <c r="M20" s="4"/>
      <c r="N20" s="4"/>
      <c r="O20" s="4"/>
      <c r="P20" s="4"/>
      <c r="Q20" s="4"/>
      <c r="R20" s="4"/>
      <c r="S20" s="4">
        <v>0</v>
      </c>
    </row>
    <row r="21" spans="1:19" x14ac:dyDescent="0.2">
      <c r="C21" s="12" t="s">
        <v>127</v>
      </c>
      <c r="D21" s="53"/>
      <c r="E21" s="110">
        <f t="shared" ref="E21:S21" si="8">SUM(E11:E20)</f>
        <v>84</v>
      </c>
      <c r="F21" s="9">
        <f t="shared" si="8"/>
        <v>84</v>
      </c>
      <c r="G21" s="9">
        <f t="shared" si="8"/>
        <v>83</v>
      </c>
      <c r="H21" s="9">
        <f t="shared" si="8"/>
        <v>79</v>
      </c>
      <c r="I21" s="9">
        <f t="shared" si="8"/>
        <v>72</v>
      </c>
      <c r="J21" s="9">
        <f t="shared" si="8"/>
        <v>65</v>
      </c>
      <c r="K21" s="9">
        <f t="shared" si="8"/>
        <v>54</v>
      </c>
      <c r="L21" s="9">
        <f t="shared" si="8"/>
        <v>49</v>
      </c>
      <c r="M21" s="9">
        <f t="shared" si="8"/>
        <v>42</v>
      </c>
      <c r="N21" s="9">
        <f t="shared" si="8"/>
        <v>31</v>
      </c>
      <c r="O21" s="9">
        <f t="shared" si="8"/>
        <v>20</v>
      </c>
      <c r="P21" s="9">
        <f t="shared" si="8"/>
        <v>10</v>
      </c>
      <c r="Q21" s="9">
        <f t="shared" si="8"/>
        <v>4</v>
      </c>
      <c r="R21" s="9">
        <f t="shared" si="8"/>
        <v>0</v>
      </c>
      <c r="S21" s="9">
        <f t="shared" si="8"/>
        <v>0</v>
      </c>
    </row>
    <row r="22" spans="1:19" x14ac:dyDescent="0.2">
      <c r="C22" s="12" t="s">
        <v>128</v>
      </c>
      <c r="D22" s="54"/>
      <c r="E22" s="111"/>
      <c r="F22" s="10">
        <f>SUM($E$11:$E$20)</f>
        <v>84</v>
      </c>
      <c r="G22" s="10">
        <f t="shared" ref="G22:S22" si="9">F22-($E$21/14)</f>
        <v>78</v>
      </c>
      <c r="H22" s="10">
        <f t="shared" si="9"/>
        <v>72</v>
      </c>
      <c r="I22" s="10">
        <f t="shared" si="9"/>
        <v>66</v>
      </c>
      <c r="J22" s="10">
        <f t="shared" si="9"/>
        <v>60</v>
      </c>
      <c r="K22" s="10">
        <f t="shared" si="9"/>
        <v>54</v>
      </c>
      <c r="L22" s="10">
        <f t="shared" si="9"/>
        <v>48</v>
      </c>
      <c r="M22" s="10">
        <f t="shared" si="9"/>
        <v>42</v>
      </c>
      <c r="N22" s="10">
        <f t="shared" si="9"/>
        <v>36</v>
      </c>
      <c r="O22" s="10">
        <f t="shared" si="9"/>
        <v>30</v>
      </c>
      <c r="P22" s="10">
        <f t="shared" si="9"/>
        <v>24</v>
      </c>
      <c r="Q22" s="10">
        <f t="shared" si="9"/>
        <v>18</v>
      </c>
      <c r="R22" s="10">
        <f t="shared" si="9"/>
        <v>12</v>
      </c>
      <c r="S22" s="10">
        <f t="shared" si="9"/>
        <v>6</v>
      </c>
    </row>
    <row r="23" spans="1:19" x14ac:dyDescent="0.2">
      <c r="M23" s="4"/>
      <c r="N23" s="4"/>
      <c r="O23" s="4"/>
      <c r="P23" s="4"/>
      <c r="Q23" s="4"/>
      <c r="R23" s="4"/>
      <c r="S23" s="4"/>
    </row>
    <row r="24" spans="1:19" x14ac:dyDescent="0.2">
      <c r="M24" s="4"/>
      <c r="N24" s="4"/>
      <c r="O24" s="4"/>
      <c r="P24" s="4"/>
      <c r="Q24" s="4"/>
      <c r="R24" s="4"/>
      <c r="S24" s="4"/>
    </row>
    <row r="25" spans="1:19" x14ac:dyDescent="0.2">
      <c r="M25" s="4"/>
      <c r="N25" s="4"/>
      <c r="O25" s="4"/>
      <c r="P25" s="4"/>
      <c r="Q25" s="4"/>
      <c r="R25" s="4"/>
      <c r="S25" s="4"/>
    </row>
    <row r="26" spans="1:19" x14ac:dyDescent="0.2">
      <c r="M26" s="4"/>
      <c r="N26" s="4"/>
      <c r="O26" s="4"/>
      <c r="P26" s="4"/>
      <c r="Q26" s="4"/>
      <c r="R26" s="4"/>
      <c r="S26" s="4"/>
    </row>
    <row r="27" spans="1:19" x14ac:dyDescent="0.2">
      <c r="K27" s="7">
        <v>0</v>
      </c>
      <c r="L27" s="4">
        <f>SUM(E11:E20)</f>
        <v>84</v>
      </c>
      <c r="M27" s="4"/>
      <c r="N27" s="4"/>
      <c r="O27" s="4"/>
      <c r="P27" s="4"/>
      <c r="Q27" s="4"/>
      <c r="R27" s="7">
        <v>0</v>
      </c>
      <c r="S27" s="4">
        <f>SUM(L11:L20)</f>
        <v>49</v>
      </c>
    </row>
    <row r="28" spans="1:19" x14ac:dyDescent="0.2">
      <c r="K28" s="7">
        <v>10</v>
      </c>
      <c r="L28" s="7">
        <v>0</v>
      </c>
      <c r="M28" s="4"/>
      <c r="N28" s="4"/>
      <c r="O28" s="4"/>
      <c r="P28" s="4"/>
      <c r="Q28" s="4"/>
      <c r="R28" s="7">
        <v>10</v>
      </c>
      <c r="S28" s="7">
        <v>0</v>
      </c>
    </row>
    <row r="29" spans="1:19" x14ac:dyDescent="0.2">
      <c r="M29" s="4"/>
      <c r="N29" s="4"/>
      <c r="O29" s="4"/>
      <c r="P29" s="4"/>
      <c r="Q29" s="4"/>
      <c r="R29" s="4"/>
      <c r="S29" s="4"/>
    </row>
    <row r="30" spans="1:19" x14ac:dyDescent="0.2">
      <c r="M30" s="4"/>
      <c r="N30" s="4"/>
      <c r="O30" s="4"/>
      <c r="P30" s="4"/>
      <c r="Q30" s="4"/>
      <c r="R30" s="4"/>
      <c r="S30" s="4"/>
    </row>
    <row r="31" spans="1:19" x14ac:dyDescent="0.2">
      <c r="M31" s="4"/>
      <c r="N31" s="4"/>
      <c r="O31" s="4"/>
      <c r="P31" s="4"/>
      <c r="Q31" s="4"/>
      <c r="R31" s="4"/>
      <c r="S31" s="4"/>
    </row>
    <row r="32" spans="1:19" x14ac:dyDescent="0.2">
      <c r="M32" s="4"/>
      <c r="N32" s="4"/>
      <c r="O32" s="4"/>
      <c r="P32" s="4"/>
      <c r="Q32" s="4"/>
      <c r="R32" s="4"/>
      <c r="S32" s="4"/>
    </row>
    <row r="33" spans="13:19" x14ac:dyDescent="0.2">
      <c r="M33" s="4"/>
      <c r="N33" s="4"/>
      <c r="O33" s="4"/>
      <c r="P33" s="4"/>
      <c r="Q33" s="4"/>
      <c r="R33" s="4"/>
      <c r="S33" s="4"/>
    </row>
    <row r="34" spans="13:19" x14ac:dyDescent="0.2">
      <c r="M34" s="4"/>
      <c r="N34" s="4"/>
      <c r="O34" s="4"/>
      <c r="P34" s="4"/>
      <c r="Q34" s="4"/>
      <c r="R34" s="4"/>
      <c r="S34" s="4"/>
    </row>
    <row r="35" spans="13:19" x14ac:dyDescent="0.2">
      <c r="M35" s="4"/>
      <c r="N35" s="4"/>
      <c r="O35" s="4"/>
      <c r="P35" s="4"/>
      <c r="Q35" s="4"/>
      <c r="R35" s="4"/>
      <c r="S35" s="4"/>
    </row>
    <row r="36" spans="13:19" x14ac:dyDescent="0.2">
      <c r="M36" s="4"/>
      <c r="N36" s="4"/>
      <c r="O36" s="4"/>
      <c r="P36" s="4"/>
      <c r="Q36" s="4"/>
      <c r="R36" s="4"/>
      <c r="S36" s="4"/>
    </row>
    <row r="37" spans="13:19" x14ac:dyDescent="0.2">
      <c r="M37" s="4"/>
      <c r="N37" s="4"/>
      <c r="O37" s="4"/>
      <c r="P37" s="4"/>
      <c r="Q37" s="4"/>
      <c r="R37" s="4"/>
      <c r="S37" s="4"/>
    </row>
    <row r="38" spans="13:19" x14ac:dyDescent="0.2">
      <c r="M38" s="4"/>
      <c r="N38" s="4"/>
      <c r="O38" s="4"/>
      <c r="P38" s="4"/>
      <c r="Q38" s="4"/>
      <c r="R38" s="4"/>
      <c r="S38" s="4"/>
    </row>
    <row r="39" spans="13:19" x14ac:dyDescent="0.2">
      <c r="M39" s="4"/>
      <c r="N39" s="4"/>
      <c r="O39" s="4"/>
      <c r="P39" s="4"/>
      <c r="Q39" s="4"/>
      <c r="R39" s="4"/>
      <c r="S39" s="4"/>
    </row>
    <row r="40" spans="13:19" x14ac:dyDescent="0.2">
      <c r="M40" s="4"/>
      <c r="N40" s="4"/>
      <c r="O40" s="4"/>
      <c r="P40" s="4"/>
      <c r="Q40" s="4"/>
      <c r="R40" s="4"/>
      <c r="S40" s="4"/>
    </row>
    <row r="41" spans="13:19" x14ac:dyDescent="0.2">
      <c r="M41" s="4"/>
      <c r="N41" s="4"/>
      <c r="O41" s="4"/>
      <c r="P41" s="4"/>
      <c r="Q41" s="4"/>
      <c r="R41" s="4"/>
      <c r="S41" s="4"/>
    </row>
    <row r="42" spans="13:19" x14ac:dyDescent="0.2">
      <c r="M42" s="4"/>
      <c r="N42" s="4"/>
      <c r="O42" s="4"/>
      <c r="P42" s="4"/>
      <c r="Q42" s="4"/>
      <c r="R42" s="4"/>
      <c r="S42" s="4"/>
    </row>
    <row r="43" spans="13:19" x14ac:dyDescent="0.2">
      <c r="M43" s="4"/>
      <c r="N43" s="4"/>
      <c r="O43" s="4"/>
      <c r="P43" s="4"/>
      <c r="Q43" s="4"/>
      <c r="R43" s="4"/>
      <c r="S43" s="4"/>
    </row>
    <row r="44" spans="13:19" x14ac:dyDescent="0.2">
      <c r="M44" s="4"/>
      <c r="N44" s="4"/>
      <c r="O44" s="4"/>
      <c r="P44" s="4"/>
      <c r="Q44" s="4"/>
      <c r="R44" s="4"/>
      <c r="S44" s="4"/>
    </row>
    <row r="45" spans="13:19" x14ac:dyDescent="0.2">
      <c r="M45" s="4"/>
      <c r="N45" s="4"/>
      <c r="O45" s="4"/>
      <c r="P45" s="4"/>
      <c r="Q45" s="4"/>
      <c r="R45" s="4"/>
      <c r="S45" s="4"/>
    </row>
  </sheetData>
  <sheetProtection formatCells="0" formatColumns="0" formatRows="0" insertRows="0" autoFilter="0"/>
  <autoFilter ref="A10:E10" xr:uid="{00000000-0009-0000-0000-000002000000}"/>
  <mergeCells count="5">
    <mergeCell ref="A2:L2"/>
    <mergeCell ref="E4:J4"/>
    <mergeCell ref="F8:L8"/>
    <mergeCell ref="E21:E22"/>
    <mergeCell ref="M8:S8"/>
  </mergeCells>
  <conditionalFormatting sqref="F21:S21">
    <cfRule type="cellIs" dxfId="1" priority="1" stopIfTrue="1" operator="lessThan">
      <formula>F22</formula>
    </cfRule>
    <cfRule type="cellIs" dxfId="0" priority="2" stopIfTrue="1" operator="greaterThan">
      <formula>F22</formula>
    </cfRule>
  </conditionalFormatting>
  <pageMargins left="0.75" right="0.75" top="1" bottom="1" header="0.5" footer="0.5"/>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DB252-6E6D-4D44-8E1F-8313B180D149}">
  <dimension ref="A1:J433"/>
  <sheetViews>
    <sheetView topLeftCell="A429" workbookViewId="0"/>
  </sheetViews>
  <sheetFormatPr defaultRowHeight="12.75" x14ac:dyDescent="0.2"/>
  <cols>
    <col min="1" max="1" width="114.28515625" customWidth="1"/>
    <col min="2" max="3" width="34.28515625" customWidth="1"/>
    <col min="4" max="4" width="76.140625" customWidth="1"/>
    <col min="5" max="5" width="11.42578125" customWidth="1"/>
  </cols>
  <sheetData>
    <row r="1" spans="1:10" ht="20.25" x14ac:dyDescent="0.3">
      <c r="A1" s="114" t="s">
        <v>148</v>
      </c>
      <c r="B1" s="114"/>
      <c r="C1" s="114"/>
      <c r="D1" s="114"/>
      <c r="E1" s="114"/>
      <c r="F1" s="114"/>
      <c r="G1" s="114"/>
      <c r="H1" s="114"/>
      <c r="I1" s="114"/>
      <c r="J1" s="114"/>
    </row>
    <row r="3" spans="1:10" x14ac:dyDescent="0.2">
      <c r="A3" s="115" t="s">
        <v>149</v>
      </c>
      <c r="B3" s="115"/>
      <c r="C3" s="115"/>
      <c r="D3" s="115"/>
      <c r="E3" s="115"/>
      <c r="F3" s="115"/>
      <c r="G3" s="115"/>
      <c r="H3" s="115"/>
      <c r="I3" s="115"/>
      <c r="J3" s="115"/>
    </row>
    <row r="4" spans="1:10" x14ac:dyDescent="0.2">
      <c r="A4" s="97" t="s">
        <v>150</v>
      </c>
    </row>
    <row r="5" spans="1:10" x14ac:dyDescent="0.2">
      <c r="A5" s="112" t="s">
        <v>151</v>
      </c>
      <c r="B5" s="112"/>
      <c r="C5" s="112"/>
      <c r="D5" s="112"/>
      <c r="E5" s="112"/>
      <c r="F5" s="112"/>
      <c r="G5" s="112"/>
      <c r="H5" s="112"/>
      <c r="I5" s="112"/>
      <c r="J5" s="112"/>
    </row>
    <row r="7" spans="1:10" x14ac:dyDescent="0.2">
      <c r="A7" s="94" t="s">
        <v>152</v>
      </c>
      <c r="B7" s="94" t="s">
        <v>153</v>
      </c>
      <c r="C7" s="94" t="s">
        <v>154</v>
      </c>
      <c r="D7" s="94" t="s">
        <v>155</v>
      </c>
      <c r="E7" s="94" t="s">
        <v>156</v>
      </c>
    </row>
    <row r="8" spans="1:10" x14ac:dyDescent="0.2">
      <c r="A8">
        <v>1</v>
      </c>
      <c r="B8" t="s">
        <v>157</v>
      </c>
      <c r="C8" t="s">
        <v>158</v>
      </c>
      <c r="D8" t="s">
        <v>159</v>
      </c>
      <c r="E8" t="s">
        <v>160</v>
      </c>
    </row>
    <row r="9" spans="1:10" x14ac:dyDescent="0.2">
      <c r="A9">
        <v>2</v>
      </c>
      <c r="B9" t="s">
        <v>161</v>
      </c>
      <c r="C9" t="s">
        <v>162</v>
      </c>
      <c r="D9" t="s">
        <v>163</v>
      </c>
      <c r="E9" t="s">
        <v>160</v>
      </c>
    </row>
    <row r="10" spans="1:10" x14ac:dyDescent="0.2">
      <c r="A10">
        <v>3</v>
      </c>
      <c r="B10" t="s">
        <v>164</v>
      </c>
      <c r="C10" t="s">
        <v>165</v>
      </c>
      <c r="D10" t="s">
        <v>166</v>
      </c>
      <c r="E10" t="s">
        <v>160</v>
      </c>
    </row>
    <row r="11" spans="1:10" x14ac:dyDescent="0.2">
      <c r="A11">
        <v>4</v>
      </c>
      <c r="B11" t="s">
        <v>167</v>
      </c>
      <c r="C11" t="s">
        <v>168</v>
      </c>
      <c r="D11" t="s">
        <v>169</v>
      </c>
      <c r="E11" t="s">
        <v>170</v>
      </c>
    </row>
    <row r="12" spans="1:10" x14ac:dyDescent="0.2">
      <c r="A12">
        <v>5</v>
      </c>
      <c r="B12" t="s">
        <v>171</v>
      </c>
      <c r="C12" t="s">
        <v>172</v>
      </c>
      <c r="D12" t="s">
        <v>173</v>
      </c>
      <c r="E12" t="s">
        <v>160</v>
      </c>
    </row>
    <row r="14" spans="1:10" x14ac:dyDescent="0.2">
      <c r="A14" s="112" t="s">
        <v>174</v>
      </c>
      <c r="B14" s="112"/>
      <c r="C14" s="112"/>
      <c r="D14" s="112"/>
    </row>
    <row r="16" spans="1:10" x14ac:dyDescent="0.2">
      <c r="A16" t="s">
        <v>175</v>
      </c>
    </row>
    <row r="18" spans="1:4" x14ac:dyDescent="0.2">
      <c r="A18" s="95" t="s">
        <v>176</v>
      </c>
      <c r="B18" s="95" t="s">
        <v>177</v>
      </c>
    </row>
    <row r="19" spans="1:4" x14ac:dyDescent="0.2">
      <c r="A19" t="s">
        <v>178</v>
      </c>
      <c r="B19" t="s">
        <v>179</v>
      </c>
    </row>
    <row r="20" spans="1:4" x14ac:dyDescent="0.2">
      <c r="A20" t="s">
        <v>180</v>
      </c>
      <c r="B20" t="s">
        <v>181</v>
      </c>
    </row>
    <row r="21" spans="1:4" x14ac:dyDescent="0.2">
      <c r="A21" t="s">
        <v>182</v>
      </c>
      <c r="B21" t="s">
        <v>183</v>
      </c>
    </row>
    <row r="22" spans="1:4" x14ac:dyDescent="0.2">
      <c r="A22" t="s">
        <v>184</v>
      </c>
      <c r="B22" t="s">
        <v>185</v>
      </c>
    </row>
    <row r="23" spans="1:4" x14ac:dyDescent="0.2">
      <c r="A23" t="s">
        <v>186</v>
      </c>
      <c r="B23" t="s">
        <v>187</v>
      </c>
    </row>
    <row r="24" spans="1:4" x14ac:dyDescent="0.2">
      <c r="A24" t="s">
        <v>188</v>
      </c>
      <c r="B24" t="s">
        <v>189</v>
      </c>
    </row>
    <row r="25" spans="1:4" x14ac:dyDescent="0.2">
      <c r="A25" t="s">
        <v>190</v>
      </c>
      <c r="B25" t="s">
        <v>191</v>
      </c>
    </row>
    <row r="27" spans="1:4" x14ac:dyDescent="0.2">
      <c r="A27" s="112" t="s">
        <v>192</v>
      </c>
      <c r="B27" s="113"/>
      <c r="C27" s="113"/>
      <c r="D27" s="113"/>
    </row>
    <row r="29" spans="1:4" x14ac:dyDescent="0.2">
      <c r="A29" t="s">
        <v>193</v>
      </c>
    </row>
    <row r="31" spans="1:4" x14ac:dyDescent="0.2">
      <c r="A31" s="93" t="s">
        <v>194</v>
      </c>
      <c r="B31" s="93"/>
    </row>
    <row r="32" spans="1:4" x14ac:dyDescent="0.2">
      <c r="A32" t="s">
        <v>195</v>
      </c>
    </row>
    <row r="33" spans="1:1" x14ac:dyDescent="0.2">
      <c r="A33" t="s">
        <v>196</v>
      </c>
    </row>
    <row r="35" spans="1:1" x14ac:dyDescent="0.2">
      <c r="A35" t="s">
        <v>197</v>
      </c>
    </row>
    <row r="36" spans="1:1" x14ac:dyDescent="0.2">
      <c r="A36" t="s">
        <v>198</v>
      </c>
    </row>
    <row r="37" spans="1:1" x14ac:dyDescent="0.2">
      <c r="A37" t="s">
        <v>199</v>
      </c>
    </row>
    <row r="38" spans="1:1" x14ac:dyDescent="0.2">
      <c r="A38" t="s">
        <v>200</v>
      </c>
    </row>
    <row r="39" spans="1:1" x14ac:dyDescent="0.2">
      <c r="A39" t="s">
        <v>201</v>
      </c>
    </row>
    <row r="40" spans="1:1" x14ac:dyDescent="0.2">
      <c r="A40" t="s">
        <v>202</v>
      </c>
    </row>
    <row r="41" spans="1:1" x14ac:dyDescent="0.2">
      <c r="A41" t="s">
        <v>203</v>
      </c>
    </row>
    <row r="42" spans="1:1" x14ac:dyDescent="0.2">
      <c r="A42" t="s">
        <v>204</v>
      </c>
    </row>
    <row r="43" spans="1:1" x14ac:dyDescent="0.2">
      <c r="A43" t="s">
        <v>205</v>
      </c>
    </row>
    <row r="44" spans="1:1" x14ac:dyDescent="0.2">
      <c r="A44" t="s">
        <v>206</v>
      </c>
    </row>
    <row r="45" spans="1:1" x14ac:dyDescent="0.2">
      <c r="A45" t="s">
        <v>207</v>
      </c>
    </row>
    <row r="46" spans="1:1" x14ac:dyDescent="0.2">
      <c r="A46" t="s">
        <v>208</v>
      </c>
    </row>
    <row r="47" spans="1:1" x14ac:dyDescent="0.2">
      <c r="A47" t="s">
        <v>209</v>
      </c>
    </row>
    <row r="48" spans="1:1" x14ac:dyDescent="0.2">
      <c r="A48" t="s">
        <v>210</v>
      </c>
    </row>
    <row r="49" spans="1:1" x14ac:dyDescent="0.2">
      <c r="A49" t="s">
        <v>211</v>
      </c>
    </row>
    <row r="50" spans="1:1" x14ac:dyDescent="0.2">
      <c r="A50" t="s">
        <v>199</v>
      </c>
    </row>
    <row r="51" spans="1:1" x14ac:dyDescent="0.2">
      <c r="A51" t="s">
        <v>212</v>
      </c>
    </row>
    <row r="52" spans="1:1" x14ac:dyDescent="0.2">
      <c r="A52" t="s">
        <v>213</v>
      </c>
    </row>
    <row r="53" spans="1:1" x14ac:dyDescent="0.2">
      <c r="A53" t="s">
        <v>214</v>
      </c>
    </row>
    <row r="54" spans="1:1" x14ac:dyDescent="0.2">
      <c r="A54" t="s">
        <v>215</v>
      </c>
    </row>
    <row r="55" spans="1:1" x14ac:dyDescent="0.2">
      <c r="A55" t="s">
        <v>216</v>
      </c>
    </row>
    <row r="56" spans="1:1" x14ac:dyDescent="0.2">
      <c r="A56" t="s">
        <v>217</v>
      </c>
    </row>
    <row r="57" spans="1:1" x14ac:dyDescent="0.2">
      <c r="A57" t="s">
        <v>218</v>
      </c>
    </row>
    <row r="58" spans="1:1" x14ac:dyDescent="0.2">
      <c r="A58" t="s">
        <v>219</v>
      </c>
    </row>
    <row r="59" spans="1:1" x14ac:dyDescent="0.2">
      <c r="A59" t="s">
        <v>220</v>
      </c>
    </row>
    <row r="60" spans="1:1" x14ac:dyDescent="0.2">
      <c r="A60" t="s">
        <v>221</v>
      </c>
    </row>
    <row r="61" spans="1:1" x14ac:dyDescent="0.2">
      <c r="A61" t="s">
        <v>222</v>
      </c>
    </row>
    <row r="62" spans="1:1" x14ac:dyDescent="0.2">
      <c r="A62" t="s">
        <v>223</v>
      </c>
    </row>
    <row r="63" spans="1:1" x14ac:dyDescent="0.2">
      <c r="A63" t="s">
        <v>209</v>
      </c>
    </row>
    <row r="65" spans="1:1" x14ac:dyDescent="0.2">
      <c r="A65" t="s">
        <v>224</v>
      </c>
    </row>
    <row r="66" spans="1:1" x14ac:dyDescent="0.2">
      <c r="A66" t="s">
        <v>225</v>
      </c>
    </row>
    <row r="67" spans="1:1" x14ac:dyDescent="0.2">
      <c r="A67" t="s">
        <v>199</v>
      </c>
    </row>
    <row r="68" spans="1:1" x14ac:dyDescent="0.2">
      <c r="A68" t="s">
        <v>226</v>
      </c>
    </row>
    <row r="69" spans="1:1" x14ac:dyDescent="0.2">
      <c r="A69" t="s">
        <v>227</v>
      </c>
    </row>
    <row r="70" spans="1:1" x14ac:dyDescent="0.2">
      <c r="A70" t="s">
        <v>228</v>
      </c>
    </row>
    <row r="71" spans="1:1" x14ac:dyDescent="0.2">
      <c r="A71" t="s">
        <v>207</v>
      </c>
    </row>
    <row r="72" spans="1:1" x14ac:dyDescent="0.2">
      <c r="A72" t="s">
        <v>229</v>
      </c>
    </row>
    <row r="73" spans="1:1" x14ac:dyDescent="0.2">
      <c r="A73" t="s">
        <v>230</v>
      </c>
    </row>
    <row r="74" spans="1:1" x14ac:dyDescent="0.2">
      <c r="A74" t="s">
        <v>209</v>
      </c>
    </row>
    <row r="75" spans="1:1" x14ac:dyDescent="0.2">
      <c r="A75" t="s">
        <v>231</v>
      </c>
    </row>
    <row r="76" spans="1:1" x14ac:dyDescent="0.2">
      <c r="A76" t="s">
        <v>232</v>
      </c>
    </row>
    <row r="77" spans="1:1" x14ac:dyDescent="0.2">
      <c r="A77" t="s">
        <v>199</v>
      </c>
    </row>
    <row r="78" spans="1:1" x14ac:dyDescent="0.2">
      <c r="A78" t="s">
        <v>226</v>
      </c>
    </row>
    <row r="79" spans="1:1" x14ac:dyDescent="0.2">
      <c r="A79" t="s">
        <v>233</v>
      </c>
    </row>
    <row r="80" spans="1:1" x14ac:dyDescent="0.2">
      <c r="A80" t="s">
        <v>234</v>
      </c>
    </row>
    <row r="81" spans="1:1" x14ac:dyDescent="0.2">
      <c r="A81" t="s">
        <v>235</v>
      </c>
    </row>
    <row r="82" spans="1:1" x14ac:dyDescent="0.2">
      <c r="A82" t="s">
        <v>236</v>
      </c>
    </row>
    <row r="83" spans="1:1" x14ac:dyDescent="0.2">
      <c r="A83" t="s">
        <v>207</v>
      </c>
    </row>
    <row r="84" spans="1:1" x14ac:dyDescent="0.2">
      <c r="A84" t="s">
        <v>237</v>
      </c>
    </row>
    <row r="85" spans="1:1" x14ac:dyDescent="0.2">
      <c r="A85" t="s">
        <v>209</v>
      </c>
    </row>
    <row r="87" spans="1:1" x14ac:dyDescent="0.2">
      <c r="A87" t="s">
        <v>238</v>
      </c>
    </row>
    <row r="88" spans="1:1" x14ac:dyDescent="0.2">
      <c r="A88" t="s">
        <v>239</v>
      </c>
    </row>
    <row r="89" spans="1:1" x14ac:dyDescent="0.2">
      <c r="A89" t="s">
        <v>199</v>
      </c>
    </row>
    <row r="90" spans="1:1" x14ac:dyDescent="0.2">
      <c r="A90" t="s">
        <v>240</v>
      </c>
    </row>
    <row r="91" spans="1:1" x14ac:dyDescent="0.2">
      <c r="A91" t="s">
        <v>227</v>
      </c>
    </row>
    <row r="92" spans="1:1" x14ac:dyDescent="0.2">
      <c r="A92" t="s">
        <v>241</v>
      </c>
    </row>
    <row r="93" spans="1:1" x14ac:dyDescent="0.2">
      <c r="A93" t="s">
        <v>242</v>
      </c>
    </row>
    <row r="94" spans="1:1" x14ac:dyDescent="0.2">
      <c r="A94" t="s">
        <v>243</v>
      </c>
    </row>
    <row r="95" spans="1:1" x14ac:dyDescent="0.2">
      <c r="A95" t="s">
        <v>230</v>
      </c>
    </row>
    <row r="96" spans="1:1" x14ac:dyDescent="0.2">
      <c r="A96" t="s">
        <v>209</v>
      </c>
    </row>
    <row r="97" spans="1:4" x14ac:dyDescent="0.2">
      <c r="A97" s="93" t="s">
        <v>244</v>
      </c>
      <c r="B97" s="93"/>
    </row>
    <row r="99" spans="1:4" x14ac:dyDescent="0.2">
      <c r="A99" s="112" t="s">
        <v>245</v>
      </c>
      <c r="B99" s="113"/>
      <c r="C99" s="113"/>
      <c r="D99" s="113"/>
    </row>
    <row r="101" spans="1:4" x14ac:dyDescent="0.2">
      <c r="A101" t="s">
        <v>246</v>
      </c>
    </row>
    <row r="103" spans="1:4" x14ac:dyDescent="0.2">
      <c r="A103" t="s">
        <v>247</v>
      </c>
    </row>
    <row r="104" spans="1:4" x14ac:dyDescent="0.2">
      <c r="A104" t="s">
        <v>248</v>
      </c>
    </row>
    <row r="105" spans="1:4" x14ac:dyDescent="0.2">
      <c r="A105" t="s">
        <v>249</v>
      </c>
    </row>
    <row r="106" spans="1:4" x14ac:dyDescent="0.2">
      <c r="A106" t="s">
        <v>250</v>
      </c>
    </row>
    <row r="108" spans="1:4" x14ac:dyDescent="0.2">
      <c r="A108" t="s">
        <v>251</v>
      </c>
    </row>
    <row r="109" spans="1:4" x14ac:dyDescent="0.2">
      <c r="A109" t="s">
        <v>252</v>
      </c>
    </row>
    <row r="110" spans="1:4" x14ac:dyDescent="0.2">
      <c r="A110" t="s">
        <v>253</v>
      </c>
    </row>
    <row r="112" spans="1:4" x14ac:dyDescent="0.2">
      <c r="A112" t="s">
        <v>254</v>
      </c>
    </row>
    <row r="113" spans="1:4" x14ac:dyDescent="0.2">
      <c r="A113" t="s">
        <v>255</v>
      </c>
    </row>
    <row r="114" spans="1:4" x14ac:dyDescent="0.2">
      <c r="A114" t="s">
        <v>256</v>
      </c>
    </row>
    <row r="115" spans="1:4" x14ac:dyDescent="0.2">
      <c r="A115" t="s">
        <v>257</v>
      </c>
    </row>
    <row r="116" spans="1:4" x14ac:dyDescent="0.2">
      <c r="A116" t="s">
        <v>258</v>
      </c>
    </row>
    <row r="117" spans="1:4" x14ac:dyDescent="0.2">
      <c r="A117" t="s">
        <v>259</v>
      </c>
    </row>
    <row r="118" spans="1:4" x14ac:dyDescent="0.2">
      <c r="A118" t="s">
        <v>260</v>
      </c>
    </row>
    <row r="119" spans="1:4" x14ac:dyDescent="0.2">
      <c r="A119" t="s">
        <v>261</v>
      </c>
    </row>
    <row r="120" spans="1:4" x14ac:dyDescent="0.2">
      <c r="A120" t="s">
        <v>262</v>
      </c>
    </row>
    <row r="122" spans="1:4" x14ac:dyDescent="0.2">
      <c r="A122" t="s">
        <v>263</v>
      </c>
    </row>
    <row r="124" spans="1:4" x14ac:dyDescent="0.2">
      <c r="A124" s="112" t="s">
        <v>264</v>
      </c>
      <c r="B124" s="113"/>
      <c r="C124" s="113"/>
      <c r="D124" s="113"/>
    </row>
    <row r="126" spans="1:4" x14ac:dyDescent="0.2">
      <c r="A126" t="s">
        <v>265</v>
      </c>
    </row>
    <row r="128" spans="1:4" x14ac:dyDescent="0.2">
      <c r="A128" t="s">
        <v>247</v>
      </c>
    </row>
    <row r="129" spans="1:1" x14ac:dyDescent="0.2">
      <c r="A129" t="s">
        <v>266</v>
      </c>
    </row>
    <row r="130" spans="1:1" x14ac:dyDescent="0.2">
      <c r="A130" t="s">
        <v>267</v>
      </c>
    </row>
    <row r="131" spans="1:1" x14ac:dyDescent="0.2">
      <c r="A131" t="s">
        <v>268</v>
      </c>
    </row>
    <row r="132" spans="1:1" x14ac:dyDescent="0.2">
      <c r="A132" t="s">
        <v>269</v>
      </c>
    </row>
    <row r="134" spans="1:1" x14ac:dyDescent="0.2">
      <c r="A134" t="s">
        <v>270</v>
      </c>
    </row>
    <row r="135" spans="1:1" x14ac:dyDescent="0.2">
      <c r="A135" t="s">
        <v>271</v>
      </c>
    </row>
    <row r="136" spans="1:1" x14ac:dyDescent="0.2">
      <c r="A136" t="s">
        <v>272</v>
      </c>
    </row>
    <row r="137" spans="1:1" x14ac:dyDescent="0.2">
      <c r="A137" t="s">
        <v>273</v>
      </c>
    </row>
    <row r="138" spans="1:1" x14ac:dyDescent="0.2">
      <c r="A138" t="s">
        <v>274</v>
      </c>
    </row>
    <row r="139" spans="1:1" x14ac:dyDescent="0.2">
      <c r="A139" t="s">
        <v>275</v>
      </c>
    </row>
    <row r="140" spans="1:1" x14ac:dyDescent="0.2">
      <c r="A140" t="s">
        <v>276</v>
      </c>
    </row>
    <row r="141" spans="1:1" x14ac:dyDescent="0.2">
      <c r="A141" t="s">
        <v>277</v>
      </c>
    </row>
    <row r="142" spans="1:1" x14ac:dyDescent="0.2">
      <c r="A142" t="s">
        <v>278</v>
      </c>
    </row>
    <row r="143" spans="1:1" x14ac:dyDescent="0.2">
      <c r="A143" t="s">
        <v>279</v>
      </c>
    </row>
    <row r="144" spans="1:1" x14ac:dyDescent="0.2">
      <c r="A144" t="s">
        <v>274</v>
      </c>
    </row>
    <row r="145" spans="1:1" x14ac:dyDescent="0.2">
      <c r="A145" t="s">
        <v>280</v>
      </c>
    </row>
    <row r="146" spans="1:1" x14ac:dyDescent="0.2">
      <c r="A146" t="s">
        <v>281</v>
      </c>
    </row>
    <row r="147" spans="1:1" x14ac:dyDescent="0.2">
      <c r="A147" t="s">
        <v>274</v>
      </c>
    </row>
    <row r="148" spans="1:1" x14ac:dyDescent="0.2">
      <c r="A148" t="s">
        <v>282</v>
      </c>
    </row>
    <row r="149" spans="1:1" x14ac:dyDescent="0.2">
      <c r="A149" t="s">
        <v>283</v>
      </c>
    </row>
    <row r="150" spans="1:1" x14ac:dyDescent="0.2">
      <c r="A150" t="s">
        <v>284</v>
      </c>
    </row>
    <row r="151" spans="1:1" x14ac:dyDescent="0.2">
      <c r="A151" t="s">
        <v>285</v>
      </c>
    </row>
    <row r="152" spans="1:1" x14ac:dyDescent="0.2">
      <c r="A152" t="s">
        <v>286</v>
      </c>
    </row>
    <row r="153" spans="1:1" x14ac:dyDescent="0.2">
      <c r="A153" t="s">
        <v>274</v>
      </c>
    </row>
    <row r="154" spans="1:1" x14ac:dyDescent="0.2">
      <c r="A154" t="s">
        <v>287</v>
      </c>
    </row>
    <row r="155" spans="1:1" x14ac:dyDescent="0.2">
      <c r="A155" t="s">
        <v>288</v>
      </c>
    </row>
    <row r="156" spans="1:1" x14ac:dyDescent="0.2">
      <c r="A156" t="s">
        <v>289</v>
      </c>
    </row>
    <row r="157" spans="1:1" x14ac:dyDescent="0.2">
      <c r="A157" t="s">
        <v>290</v>
      </c>
    </row>
    <row r="158" spans="1:1" x14ac:dyDescent="0.2">
      <c r="A158" t="s">
        <v>262</v>
      </c>
    </row>
    <row r="160" spans="1:1" x14ac:dyDescent="0.2">
      <c r="A160" t="s">
        <v>291</v>
      </c>
    </row>
    <row r="161" spans="1:1" x14ac:dyDescent="0.2">
      <c r="A161" t="s">
        <v>292</v>
      </c>
    </row>
    <row r="162" spans="1:1" x14ac:dyDescent="0.2">
      <c r="A162" t="s">
        <v>272</v>
      </c>
    </row>
    <row r="163" spans="1:1" x14ac:dyDescent="0.2">
      <c r="A163" t="s">
        <v>293</v>
      </c>
    </row>
    <row r="164" spans="1:1" x14ac:dyDescent="0.2">
      <c r="A164" t="s">
        <v>294</v>
      </c>
    </row>
    <row r="165" spans="1:1" x14ac:dyDescent="0.2">
      <c r="A165" t="s">
        <v>295</v>
      </c>
    </row>
    <row r="166" spans="1:1" x14ac:dyDescent="0.2">
      <c r="A166" t="s">
        <v>296</v>
      </c>
    </row>
    <row r="167" spans="1:1" x14ac:dyDescent="0.2">
      <c r="A167" t="s">
        <v>297</v>
      </c>
    </row>
    <row r="168" spans="1:1" x14ac:dyDescent="0.2">
      <c r="A168" t="s">
        <v>298</v>
      </c>
    </row>
    <row r="169" spans="1:1" x14ac:dyDescent="0.2">
      <c r="A169" t="s">
        <v>299</v>
      </c>
    </row>
    <row r="170" spans="1:1" x14ac:dyDescent="0.2">
      <c r="A170" t="s">
        <v>300</v>
      </c>
    </row>
    <row r="171" spans="1:1" x14ac:dyDescent="0.2">
      <c r="A171" t="s">
        <v>301</v>
      </c>
    </row>
    <row r="172" spans="1:1" x14ac:dyDescent="0.2">
      <c r="A172" t="s">
        <v>302</v>
      </c>
    </row>
    <row r="173" spans="1:1" x14ac:dyDescent="0.2">
      <c r="A173" t="s">
        <v>303</v>
      </c>
    </row>
    <row r="174" spans="1:1" x14ac:dyDescent="0.2">
      <c r="A174" t="s">
        <v>279</v>
      </c>
    </row>
    <row r="175" spans="1:1" x14ac:dyDescent="0.2">
      <c r="A175" t="s">
        <v>304</v>
      </c>
    </row>
    <row r="176" spans="1:1" x14ac:dyDescent="0.2">
      <c r="A176" t="s">
        <v>305</v>
      </c>
    </row>
    <row r="177" spans="1:4" x14ac:dyDescent="0.2">
      <c r="A177" t="s">
        <v>306</v>
      </c>
    </row>
    <row r="178" spans="1:4" x14ac:dyDescent="0.2">
      <c r="A178" t="s">
        <v>307</v>
      </c>
    </row>
    <row r="179" spans="1:4" x14ac:dyDescent="0.2">
      <c r="A179" t="s">
        <v>262</v>
      </c>
    </row>
    <row r="180" spans="1:4" x14ac:dyDescent="0.2">
      <c r="A180" t="s">
        <v>308</v>
      </c>
    </row>
    <row r="182" spans="1:4" x14ac:dyDescent="0.2">
      <c r="A182" s="112" t="s">
        <v>309</v>
      </c>
      <c r="B182" s="113"/>
      <c r="C182" s="113"/>
      <c r="D182" s="113"/>
    </row>
    <row r="184" spans="1:4" x14ac:dyDescent="0.2">
      <c r="A184" t="s">
        <v>310</v>
      </c>
    </row>
    <row r="186" spans="1:4" x14ac:dyDescent="0.2">
      <c r="A186" t="s">
        <v>247</v>
      </c>
    </row>
    <row r="187" spans="1:4" x14ac:dyDescent="0.2">
      <c r="A187" t="s">
        <v>268</v>
      </c>
    </row>
    <row r="188" spans="1:4" x14ac:dyDescent="0.2">
      <c r="A188" t="s">
        <v>269</v>
      </c>
    </row>
    <row r="190" spans="1:4" x14ac:dyDescent="0.2">
      <c r="A190" t="s">
        <v>311</v>
      </c>
    </row>
    <row r="191" spans="1:4" x14ac:dyDescent="0.2">
      <c r="A191" t="s">
        <v>312</v>
      </c>
    </row>
    <row r="192" spans="1:4" x14ac:dyDescent="0.2">
      <c r="A192" t="s">
        <v>272</v>
      </c>
    </row>
    <row r="193" spans="1:1" x14ac:dyDescent="0.2">
      <c r="A193" t="s">
        <v>313</v>
      </c>
    </row>
    <row r="194" spans="1:1" x14ac:dyDescent="0.2">
      <c r="A194" t="s">
        <v>314</v>
      </c>
    </row>
    <row r="195" spans="1:1" x14ac:dyDescent="0.2">
      <c r="A195" t="s">
        <v>315</v>
      </c>
    </row>
    <row r="196" spans="1:1" x14ac:dyDescent="0.2">
      <c r="A196" t="s">
        <v>316</v>
      </c>
    </row>
    <row r="197" spans="1:1" x14ac:dyDescent="0.2">
      <c r="A197" t="s">
        <v>317</v>
      </c>
    </row>
    <row r="198" spans="1:1" x14ac:dyDescent="0.2">
      <c r="A198" t="s">
        <v>318</v>
      </c>
    </row>
    <row r="199" spans="1:1" x14ac:dyDescent="0.2">
      <c r="A199" t="s">
        <v>319</v>
      </c>
    </row>
    <row r="200" spans="1:1" x14ac:dyDescent="0.2">
      <c r="A200" t="s">
        <v>320</v>
      </c>
    </row>
    <row r="201" spans="1:1" x14ac:dyDescent="0.2">
      <c r="A201" t="s">
        <v>321</v>
      </c>
    </row>
    <row r="202" spans="1:1" x14ac:dyDescent="0.2">
      <c r="A202" t="s">
        <v>322</v>
      </c>
    </row>
    <row r="203" spans="1:1" x14ac:dyDescent="0.2">
      <c r="A203" t="s">
        <v>323</v>
      </c>
    </row>
    <row r="204" spans="1:1" x14ac:dyDescent="0.2">
      <c r="A204" t="s">
        <v>324</v>
      </c>
    </row>
    <row r="205" spans="1:1" x14ac:dyDescent="0.2">
      <c r="A205" t="s">
        <v>325</v>
      </c>
    </row>
    <row r="206" spans="1:1" x14ac:dyDescent="0.2">
      <c r="A206" t="s">
        <v>307</v>
      </c>
    </row>
    <row r="207" spans="1:1" x14ac:dyDescent="0.2">
      <c r="A207" t="s">
        <v>262</v>
      </c>
    </row>
    <row r="209" spans="1:1" x14ac:dyDescent="0.2">
      <c r="A209" t="s">
        <v>326</v>
      </c>
    </row>
    <row r="210" spans="1:1" x14ac:dyDescent="0.2">
      <c r="A210" t="s">
        <v>327</v>
      </c>
    </row>
    <row r="211" spans="1:1" x14ac:dyDescent="0.2">
      <c r="A211" t="s">
        <v>272</v>
      </c>
    </row>
    <row r="212" spans="1:1" x14ac:dyDescent="0.2">
      <c r="A212" t="s">
        <v>328</v>
      </c>
    </row>
    <row r="213" spans="1:1" x14ac:dyDescent="0.2">
      <c r="A213" t="s">
        <v>329</v>
      </c>
    </row>
    <row r="214" spans="1:1" x14ac:dyDescent="0.2">
      <c r="A214" t="s">
        <v>330</v>
      </c>
    </row>
    <row r="215" spans="1:1" x14ac:dyDescent="0.2">
      <c r="A215" t="s">
        <v>307</v>
      </c>
    </row>
    <row r="216" spans="1:1" x14ac:dyDescent="0.2">
      <c r="A216" t="s">
        <v>262</v>
      </c>
    </row>
    <row r="218" spans="1:1" x14ac:dyDescent="0.2">
      <c r="A218" t="s">
        <v>331</v>
      </c>
    </row>
    <row r="219" spans="1:1" x14ac:dyDescent="0.2">
      <c r="A219" t="s">
        <v>332</v>
      </c>
    </row>
    <row r="220" spans="1:1" x14ac:dyDescent="0.2">
      <c r="A220" t="s">
        <v>272</v>
      </c>
    </row>
    <row r="221" spans="1:1" x14ac:dyDescent="0.2">
      <c r="A221" t="s">
        <v>333</v>
      </c>
    </row>
    <row r="222" spans="1:1" x14ac:dyDescent="0.2">
      <c r="A222" t="s">
        <v>283</v>
      </c>
    </row>
    <row r="223" spans="1:1" x14ac:dyDescent="0.2">
      <c r="A223" t="s">
        <v>334</v>
      </c>
    </row>
    <row r="224" spans="1:1" x14ac:dyDescent="0.2">
      <c r="A224" t="s">
        <v>335</v>
      </c>
    </row>
    <row r="225" spans="1:1" x14ac:dyDescent="0.2">
      <c r="A225" t="s">
        <v>286</v>
      </c>
    </row>
    <row r="226" spans="1:1" x14ac:dyDescent="0.2">
      <c r="A226" t="s">
        <v>336</v>
      </c>
    </row>
    <row r="227" spans="1:1" x14ac:dyDescent="0.2">
      <c r="A227" t="s">
        <v>307</v>
      </c>
    </row>
    <row r="228" spans="1:1" x14ac:dyDescent="0.2">
      <c r="A228" t="s">
        <v>262</v>
      </c>
    </row>
    <row r="230" spans="1:1" x14ac:dyDescent="0.2">
      <c r="A230" t="s">
        <v>337</v>
      </c>
    </row>
    <row r="231" spans="1:1" x14ac:dyDescent="0.2">
      <c r="A231" t="s">
        <v>338</v>
      </c>
    </row>
    <row r="232" spans="1:1" x14ac:dyDescent="0.2">
      <c r="A232" t="s">
        <v>272</v>
      </c>
    </row>
    <row r="233" spans="1:1" x14ac:dyDescent="0.2">
      <c r="A233" t="s">
        <v>339</v>
      </c>
    </row>
    <row r="234" spans="1:1" x14ac:dyDescent="0.2">
      <c r="A234" t="s">
        <v>340</v>
      </c>
    </row>
    <row r="235" spans="1:1" x14ac:dyDescent="0.2">
      <c r="A235" t="s">
        <v>341</v>
      </c>
    </row>
    <row r="236" spans="1:1" x14ac:dyDescent="0.2">
      <c r="A236" t="s">
        <v>342</v>
      </c>
    </row>
    <row r="237" spans="1:1" x14ac:dyDescent="0.2">
      <c r="A237" t="s">
        <v>307</v>
      </c>
    </row>
    <row r="238" spans="1:1" x14ac:dyDescent="0.2">
      <c r="A238" t="s">
        <v>262</v>
      </c>
    </row>
    <row r="240" spans="1:1" x14ac:dyDescent="0.2">
      <c r="A240" t="s">
        <v>343</v>
      </c>
    </row>
    <row r="241" spans="1:4" x14ac:dyDescent="0.2">
      <c r="A241" t="s">
        <v>344</v>
      </c>
    </row>
    <row r="242" spans="1:4" x14ac:dyDescent="0.2">
      <c r="A242" t="s">
        <v>272</v>
      </c>
    </row>
    <row r="243" spans="1:4" x14ac:dyDescent="0.2">
      <c r="A243" t="s">
        <v>345</v>
      </c>
    </row>
    <row r="244" spans="1:4" x14ac:dyDescent="0.2">
      <c r="A244" t="s">
        <v>346</v>
      </c>
    </row>
    <row r="245" spans="1:4" x14ac:dyDescent="0.2">
      <c r="A245" t="s">
        <v>307</v>
      </c>
    </row>
    <row r="246" spans="1:4" x14ac:dyDescent="0.2">
      <c r="A246" t="s">
        <v>262</v>
      </c>
    </row>
    <row r="248" spans="1:4" x14ac:dyDescent="0.2">
      <c r="A248" t="s">
        <v>308</v>
      </c>
    </row>
    <row r="250" spans="1:4" x14ac:dyDescent="0.2">
      <c r="A250" s="112" t="s">
        <v>347</v>
      </c>
      <c r="B250" s="113"/>
      <c r="C250" s="113"/>
      <c r="D250" s="113"/>
    </row>
    <row r="252" spans="1:4" x14ac:dyDescent="0.2">
      <c r="A252" t="s">
        <v>348</v>
      </c>
    </row>
    <row r="254" spans="1:4" x14ac:dyDescent="0.2">
      <c r="A254" t="s">
        <v>247</v>
      </c>
    </row>
    <row r="255" spans="1:4" x14ac:dyDescent="0.2">
      <c r="A255" t="s">
        <v>268</v>
      </c>
    </row>
    <row r="256" spans="1:4" x14ac:dyDescent="0.2">
      <c r="A256" t="s">
        <v>269</v>
      </c>
    </row>
    <row r="258" spans="1:1" x14ac:dyDescent="0.2">
      <c r="A258" t="s">
        <v>349</v>
      </c>
    </row>
    <row r="259" spans="1:1" x14ac:dyDescent="0.2">
      <c r="A259" t="s">
        <v>350</v>
      </c>
    </row>
    <row r="260" spans="1:1" x14ac:dyDescent="0.2">
      <c r="A260" t="s">
        <v>272</v>
      </c>
    </row>
    <row r="261" spans="1:1" x14ac:dyDescent="0.2">
      <c r="A261" t="s">
        <v>351</v>
      </c>
    </row>
    <row r="262" spans="1:1" x14ac:dyDescent="0.2">
      <c r="A262" t="s">
        <v>352</v>
      </c>
    </row>
    <row r="263" spans="1:1" x14ac:dyDescent="0.2">
      <c r="A263" t="s">
        <v>353</v>
      </c>
    </row>
    <row r="264" spans="1:1" x14ac:dyDescent="0.2">
      <c r="A264" t="s">
        <v>354</v>
      </c>
    </row>
    <row r="265" spans="1:1" x14ac:dyDescent="0.2">
      <c r="A265" t="s">
        <v>355</v>
      </c>
    </row>
    <row r="266" spans="1:1" x14ac:dyDescent="0.2">
      <c r="A266" t="s">
        <v>307</v>
      </c>
    </row>
    <row r="267" spans="1:1" x14ac:dyDescent="0.2">
      <c r="A267" t="s">
        <v>262</v>
      </c>
    </row>
    <row r="269" spans="1:1" x14ac:dyDescent="0.2">
      <c r="A269" t="s">
        <v>356</v>
      </c>
    </row>
    <row r="270" spans="1:1" x14ac:dyDescent="0.2">
      <c r="A270" t="s">
        <v>332</v>
      </c>
    </row>
    <row r="271" spans="1:1" x14ac:dyDescent="0.2">
      <c r="A271" t="s">
        <v>272</v>
      </c>
    </row>
    <row r="272" spans="1:1" x14ac:dyDescent="0.2">
      <c r="A272" t="s">
        <v>357</v>
      </c>
    </row>
    <row r="273" spans="1:1" x14ac:dyDescent="0.2">
      <c r="A273" t="s">
        <v>358</v>
      </c>
    </row>
    <row r="274" spans="1:1" x14ac:dyDescent="0.2">
      <c r="A274" t="s">
        <v>359</v>
      </c>
    </row>
    <row r="275" spans="1:1" x14ac:dyDescent="0.2">
      <c r="A275" t="s">
        <v>360</v>
      </c>
    </row>
    <row r="276" spans="1:1" x14ac:dyDescent="0.2">
      <c r="A276" t="s">
        <v>361</v>
      </c>
    </row>
    <row r="277" spans="1:1" x14ac:dyDescent="0.2">
      <c r="A277" t="s">
        <v>362</v>
      </c>
    </row>
    <row r="278" spans="1:1" x14ac:dyDescent="0.2">
      <c r="A278" t="s">
        <v>279</v>
      </c>
    </row>
    <row r="279" spans="1:1" x14ac:dyDescent="0.2">
      <c r="A279" t="s">
        <v>363</v>
      </c>
    </row>
    <row r="280" spans="1:1" x14ac:dyDescent="0.2">
      <c r="A280" t="s">
        <v>307</v>
      </c>
    </row>
    <row r="281" spans="1:1" x14ac:dyDescent="0.2">
      <c r="A281" t="s">
        <v>262</v>
      </c>
    </row>
    <row r="283" spans="1:1" x14ac:dyDescent="0.2">
      <c r="A283" t="s">
        <v>364</v>
      </c>
    </row>
    <row r="284" spans="1:1" x14ac:dyDescent="0.2">
      <c r="A284" t="s">
        <v>338</v>
      </c>
    </row>
    <row r="285" spans="1:1" x14ac:dyDescent="0.2">
      <c r="A285" t="s">
        <v>272</v>
      </c>
    </row>
    <row r="286" spans="1:1" x14ac:dyDescent="0.2">
      <c r="A286" t="s">
        <v>365</v>
      </c>
    </row>
    <row r="287" spans="1:1" x14ac:dyDescent="0.2">
      <c r="A287" t="s">
        <v>366</v>
      </c>
    </row>
    <row r="288" spans="1:1" x14ac:dyDescent="0.2">
      <c r="A288" t="s">
        <v>367</v>
      </c>
    </row>
    <row r="289" spans="1:4" x14ac:dyDescent="0.2">
      <c r="A289" t="s">
        <v>307</v>
      </c>
    </row>
    <row r="290" spans="1:4" x14ac:dyDescent="0.2">
      <c r="A290" t="s">
        <v>262</v>
      </c>
    </row>
    <row r="292" spans="1:4" x14ac:dyDescent="0.2">
      <c r="A292" t="s">
        <v>368</v>
      </c>
    </row>
    <row r="293" spans="1:4" x14ac:dyDescent="0.2">
      <c r="A293" t="s">
        <v>344</v>
      </c>
    </row>
    <row r="294" spans="1:4" x14ac:dyDescent="0.2">
      <c r="A294" t="s">
        <v>272</v>
      </c>
    </row>
    <row r="295" spans="1:4" x14ac:dyDescent="0.2">
      <c r="A295" t="s">
        <v>369</v>
      </c>
    </row>
    <row r="296" spans="1:4" x14ac:dyDescent="0.2">
      <c r="A296" t="s">
        <v>370</v>
      </c>
    </row>
    <row r="297" spans="1:4" x14ac:dyDescent="0.2">
      <c r="A297" t="s">
        <v>307</v>
      </c>
    </row>
    <row r="298" spans="1:4" x14ac:dyDescent="0.2">
      <c r="A298" t="s">
        <v>262</v>
      </c>
    </row>
    <row r="300" spans="1:4" x14ac:dyDescent="0.2">
      <c r="A300" t="s">
        <v>308</v>
      </c>
    </row>
    <row r="302" spans="1:4" x14ac:dyDescent="0.2">
      <c r="A302" s="112" t="s">
        <v>371</v>
      </c>
      <c r="B302" s="113"/>
      <c r="C302" s="113"/>
      <c r="D302" s="113"/>
    </row>
    <row r="304" spans="1:4" x14ac:dyDescent="0.2">
      <c r="A304" t="s">
        <v>372</v>
      </c>
    </row>
    <row r="306" spans="1:1" x14ac:dyDescent="0.2">
      <c r="A306" t="s">
        <v>373</v>
      </c>
    </row>
    <row r="307" spans="1:1" x14ac:dyDescent="0.2">
      <c r="A307" t="s">
        <v>374</v>
      </c>
    </row>
    <row r="308" spans="1:1" x14ac:dyDescent="0.2">
      <c r="A308" t="s">
        <v>375</v>
      </c>
    </row>
    <row r="309" spans="1:1" x14ac:dyDescent="0.2">
      <c r="A309" t="s">
        <v>376</v>
      </c>
    </row>
    <row r="311" spans="1:1" x14ac:dyDescent="0.2">
      <c r="A311" t="s">
        <v>377</v>
      </c>
    </row>
    <row r="312" spans="1:1" x14ac:dyDescent="0.2">
      <c r="A312" t="s">
        <v>378</v>
      </c>
    </row>
    <row r="313" spans="1:1" x14ac:dyDescent="0.2">
      <c r="A313" t="s">
        <v>379</v>
      </c>
    </row>
    <row r="314" spans="1:1" x14ac:dyDescent="0.2">
      <c r="A314" t="s">
        <v>380</v>
      </c>
    </row>
    <row r="316" spans="1:1" x14ac:dyDescent="0.2">
      <c r="A316" t="s">
        <v>381</v>
      </c>
    </row>
    <row r="317" spans="1:1" x14ac:dyDescent="0.2">
      <c r="A317" t="s">
        <v>382</v>
      </c>
    </row>
    <row r="318" spans="1:1" x14ac:dyDescent="0.2">
      <c r="A318" t="s">
        <v>383</v>
      </c>
    </row>
    <row r="319" spans="1:1" x14ac:dyDescent="0.2">
      <c r="A319" t="s">
        <v>262</v>
      </c>
    </row>
    <row r="321" spans="1:4" x14ac:dyDescent="0.2">
      <c r="A321" t="s">
        <v>384</v>
      </c>
    </row>
    <row r="322" spans="1:4" x14ac:dyDescent="0.2">
      <c r="A322" t="s">
        <v>385</v>
      </c>
    </row>
    <row r="323" spans="1:4" x14ac:dyDescent="0.2">
      <c r="A323" t="s">
        <v>386</v>
      </c>
    </row>
    <row r="324" spans="1:4" x14ac:dyDescent="0.2">
      <c r="A324" t="s">
        <v>387</v>
      </c>
    </row>
    <row r="325" spans="1:4" x14ac:dyDescent="0.2">
      <c r="A325" t="s">
        <v>262</v>
      </c>
    </row>
    <row r="327" spans="1:4" x14ac:dyDescent="0.2">
      <c r="A327" s="115" t="s">
        <v>388</v>
      </c>
      <c r="B327" s="113"/>
      <c r="C327" s="113"/>
      <c r="D327" s="113"/>
    </row>
    <row r="329" spans="1:4" x14ac:dyDescent="0.2">
      <c r="A329" t="s">
        <v>389</v>
      </c>
    </row>
    <row r="331" spans="1:4" x14ac:dyDescent="0.2">
      <c r="A331" t="s">
        <v>390</v>
      </c>
      <c r="B331" t="s">
        <v>391</v>
      </c>
    </row>
    <row r="333" spans="1:4" x14ac:dyDescent="0.2">
      <c r="A333" t="s">
        <v>392</v>
      </c>
    </row>
    <row r="335" spans="1:4" x14ac:dyDescent="0.2">
      <c r="A335" t="s">
        <v>393</v>
      </c>
    </row>
    <row r="336" spans="1:4" x14ac:dyDescent="0.2">
      <c r="A336" t="s">
        <v>394</v>
      </c>
    </row>
    <row r="337" spans="1:4" x14ac:dyDescent="0.2">
      <c r="A337" t="s">
        <v>395</v>
      </c>
    </row>
    <row r="339" spans="1:4" x14ac:dyDescent="0.2">
      <c r="A339" s="96" t="s">
        <v>396</v>
      </c>
      <c r="B339" s="96"/>
    </row>
    <row r="341" spans="1:4" x14ac:dyDescent="0.2">
      <c r="A341" s="112" t="s">
        <v>397</v>
      </c>
      <c r="B341" s="113"/>
      <c r="C341" s="113"/>
      <c r="D341" s="113"/>
    </row>
    <row r="343" spans="1:4" x14ac:dyDescent="0.2">
      <c r="A343" t="s">
        <v>398</v>
      </c>
    </row>
    <row r="345" spans="1:4" x14ac:dyDescent="0.2">
      <c r="A345" s="93" t="s">
        <v>399</v>
      </c>
      <c r="B345" s="93" t="s">
        <v>400</v>
      </c>
    </row>
    <row r="346" spans="1:4" x14ac:dyDescent="0.2">
      <c r="A346" t="s">
        <v>401</v>
      </c>
      <c r="B346" t="s">
        <v>402</v>
      </c>
    </row>
    <row r="347" spans="1:4" x14ac:dyDescent="0.2">
      <c r="A347" t="s">
        <v>403</v>
      </c>
      <c r="B347" t="s">
        <v>404</v>
      </c>
    </row>
    <row r="348" spans="1:4" x14ac:dyDescent="0.2">
      <c r="A348" t="s">
        <v>405</v>
      </c>
      <c r="B348" t="s">
        <v>406</v>
      </c>
    </row>
    <row r="350" spans="1:4" x14ac:dyDescent="0.2">
      <c r="A350" t="s">
        <v>407</v>
      </c>
      <c r="B350" t="s">
        <v>408</v>
      </c>
    </row>
    <row r="351" spans="1:4" x14ac:dyDescent="0.2">
      <c r="A351" t="s">
        <v>403</v>
      </c>
      <c r="B351" t="s">
        <v>409</v>
      </c>
    </row>
    <row r="352" spans="1:4" x14ac:dyDescent="0.2">
      <c r="A352" t="s">
        <v>405</v>
      </c>
      <c r="B352" t="s">
        <v>410</v>
      </c>
    </row>
    <row r="354" spans="1:4" x14ac:dyDescent="0.2">
      <c r="A354" t="s">
        <v>411</v>
      </c>
      <c r="B354" t="s">
        <v>412</v>
      </c>
    </row>
    <row r="355" spans="1:4" x14ac:dyDescent="0.2">
      <c r="A355" t="s">
        <v>403</v>
      </c>
      <c r="B355" t="s">
        <v>413</v>
      </c>
    </row>
    <row r="356" spans="1:4" x14ac:dyDescent="0.2">
      <c r="A356" t="s">
        <v>405</v>
      </c>
      <c r="B356" t="s">
        <v>414</v>
      </c>
    </row>
    <row r="358" spans="1:4" x14ac:dyDescent="0.2">
      <c r="A358" t="s">
        <v>415</v>
      </c>
      <c r="B358" t="s">
        <v>416</v>
      </c>
    </row>
    <row r="359" spans="1:4" x14ac:dyDescent="0.2">
      <c r="A359" t="s">
        <v>405</v>
      </c>
      <c r="B359" t="s">
        <v>417</v>
      </c>
    </row>
    <row r="361" spans="1:4" x14ac:dyDescent="0.2">
      <c r="A361" t="s">
        <v>418</v>
      </c>
      <c r="B361" t="s">
        <v>419</v>
      </c>
    </row>
    <row r="362" spans="1:4" x14ac:dyDescent="0.2">
      <c r="A362" t="s">
        <v>405</v>
      </c>
      <c r="B362" t="s">
        <v>420</v>
      </c>
    </row>
    <row r="364" spans="1:4" x14ac:dyDescent="0.2">
      <c r="A364" s="116" t="s">
        <v>421</v>
      </c>
      <c r="B364" s="116"/>
      <c r="C364" s="116"/>
      <c r="D364" s="116"/>
    </row>
    <row r="366" spans="1:4" x14ac:dyDescent="0.2">
      <c r="A366" t="s">
        <v>422</v>
      </c>
    </row>
    <row r="369" spans="1:1" x14ac:dyDescent="0.2">
      <c r="A369" s="93"/>
    </row>
    <row r="371" spans="1:1" x14ac:dyDescent="0.2">
      <c r="A371" s="93"/>
    </row>
    <row r="379" spans="1:1" x14ac:dyDescent="0.2">
      <c r="A379" s="93"/>
    </row>
    <row r="385" spans="1:4" x14ac:dyDescent="0.2">
      <c r="A385" s="93"/>
    </row>
    <row r="392" spans="1:4" x14ac:dyDescent="0.2">
      <c r="A392" s="117" t="s">
        <v>423</v>
      </c>
      <c r="B392" s="113"/>
      <c r="C392" s="113"/>
      <c r="D392" s="113"/>
    </row>
    <row r="394" spans="1:4" x14ac:dyDescent="0.2">
      <c r="A394" s="94" t="s">
        <v>424</v>
      </c>
      <c r="B394" s="94" t="s">
        <v>425</v>
      </c>
      <c r="C394" s="94" t="s">
        <v>426</v>
      </c>
    </row>
    <row r="395" spans="1:4" x14ac:dyDescent="0.2">
      <c r="A395" t="s">
        <v>427</v>
      </c>
      <c r="B395">
        <v>20</v>
      </c>
    </row>
    <row r="396" spans="1:4" x14ac:dyDescent="0.2">
      <c r="A396" t="s">
        <v>428</v>
      </c>
    </row>
    <row r="397" spans="1:4" x14ac:dyDescent="0.2">
      <c r="A397" t="s">
        <v>429</v>
      </c>
    </row>
    <row r="398" spans="1:4" x14ac:dyDescent="0.2">
      <c r="A398" t="s">
        <v>430</v>
      </c>
      <c r="B398">
        <v>30</v>
      </c>
    </row>
    <row r="399" spans="1:4" x14ac:dyDescent="0.2">
      <c r="A399" t="s">
        <v>431</v>
      </c>
    </row>
    <row r="400" spans="1:4" x14ac:dyDescent="0.2">
      <c r="A400" t="s">
        <v>432</v>
      </c>
    </row>
    <row r="401" spans="1:4" x14ac:dyDescent="0.2">
      <c r="A401" t="s">
        <v>433</v>
      </c>
    </row>
    <row r="402" spans="1:4" x14ac:dyDescent="0.2">
      <c r="A402" t="s">
        <v>434</v>
      </c>
      <c r="B402">
        <v>30</v>
      </c>
    </row>
    <row r="403" spans="1:4" x14ac:dyDescent="0.2">
      <c r="A403" t="s">
        <v>435</v>
      </c>
    </row>
    <row r="404" spans="1:4" x14ac:dyDescent="0.2">
      <c r="A404" t="s">
        <v>436</v>
      </c>
    </row>
    <row r="405" spans="1:4" x14ac:dyDescent="0.2">
      <c r="A405" t="s">
        <v>437</v>
      </c>
    </row>
    <row r="406" spans="1:4" x14ac:dyDescent="0.2">
      <c r="A406" t="s">
        <v>438</v>
      </c>
      <c r="B406">
        <v>20</v>
      </c>
    </row>
    <row r="407" spans="1:4" x14ac:dyDescent="0.2">
      <c r="A407" t="s">
        <v>439</v>
      </c>
      <c r="B407">
        <v>15</v>
      </c>
    </row>
    <row r="408" spans="1:4" x14ac:dyDescent="0.2">
      <c r="A408" t="s">
        <v>440</v>
      </c>
      <c r="B408">
        <v>10</v>
      </c>
    </row>
    <row r="409" spans="1:4" x14ac:dyDescent="0.2">
      <c r="A409" s="93" t="s">
        <v>441</v>
      </c>
      <c r="B409" s="93">
        <v>125</v>
      </c>
      <c r="C409" s="93"/>
    </row>
    <row r="411" spans="1:4" x14ac:dyDescent="0.2">
      <c r="A411" s="112" t="s">
        <v>442</v>
      </c>
      <c r="B411" s="113"/>
      <c r="C411" s="113"/>
      <c r="D411" s="113"/>
    </row>
    <row r="433" spans="1:4" x14ac:dyDescent="0.2">
      <c r="A433" s="112" t="s">
        <v>443</v>
      </c>
      <c r="B433" s="113"/>
      <c r="C433" s="113"/>
      <c r="D433" s="113"/>
    </row>
  </sheetData>
  <mergeCells count="16">
    <mergeCell ref="A364:D364"/>
    <mergeCell ref="A392:D392"/>
    <mergeCell ref="A411:D411"/>
    <mergeCell ref="A433:D433"/>
    <mergeCell ref="A124:D124"/>
    <mergeCell ref="A182:D182"/>
    <mergeCell ref="A250:D250"/>
    <mergeCell ref="A302:D302"/>
    <mergeCell ref="A327:D327"/>
    <mergeCell ref="A341:D341"/>
    <mergeCell ref="A99:D99"/>
    <mergeCell ref="A1:J1"/>
    <mergeCell ref="A3:J3"/>
    <mergeCell ref="A5:J5"/>
    <mergeCell ref="A14:D14"/>
    <mergeCell ref="A27:D2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A5819-E206-40F8-A5FD-B817FAF2D487}">
  <dimension ref="A1:F45"/>
  <sheetViews>
    <sheetView tabSelected="1" workbookViewId="0">
      <selection activeCell="A10" sqref="A10:F10"/>
    </sheetView>
  </sheetViews>
  <sheetFormatPr defaultRowHeight="12.75" x14ac:dyDescent="0.2"/>
  <cols>
    <col min="1" max="1" width="38.140625" customWidth="1"/>
    <col min="2" max="2" width="47.5703125" customWidth="1"/>
    <col min="3" max="3" width="22.85546875" customWidth="1"/>
    <col min="4" max="4" width="19" customWidth="1"/>
    <col min="5" max="6" width="15.28515625" customWidth="1"/>
  </cols>
  <sheetData>
    <row r="1" spans="1:6" ht="35.1" customHeight="1" x14ac:dyDescent="0.35">
      <c r="A1" s="118" t="s">
        <v>444</v>
      </c>
      <c r="B1" s="118"/>
      <c r="C1" s="118"/>
      <c r="D1" s="118"/>
      <c r="E1" s="118"/>
      <c r="F1" s="118"/>
    </row>
    <row r="3" spans="1:6" x14ac:dyDescent="0.2">
      <c r="A3" s="93" t="s">
        <v>445</v>
      </c>
      <c r="B3" s="113" t="s">
        <v>17</v>
      </c>
      <c r="C3" s="113"/>
      <c r="D3" s="113"/>
      <c r="E3" s="113"/>
      <c r="F3" s="113"/>
    </row>
    <row r="4" spans="1:6" x14ac:dyDescent="0.2">
      <c r="A4" s="93" t="s">
        <v>446</v>
      </c>
      <c r="B4" s="113">
        <v>1</v>
      </c>
      <c r="C4" s="113"/>
      <c r="D4" s="113"/>
      <c r="E4" s="113"/>
      <c r="F4" s="113"/>
    </row>
    <row r="5" spans="1:6" x14ac:dyDescent="0.2">
      <c r="A5" s="93" t="s">
        <v>447</v>
      </c>
      <c r="B5" s="113" t="s">
        <v>450</v>
      </c>
      <c r="C5" s="113"/>
      <c r="D5" s="113"/>
      <c r="E5" s="113"/>
      <c r="F5" s="113"/>
    </row>
    <row r="6" spans="1:6" x14ac:dyDescent="0.2">
      <c r="A6" s="93" t="s">
        <v>448</v>
      </c>
      <c r="B6" s="113" t="s">
        <v>451</v>
      </c>
      <c r="C6" s="113"/>
      <c r="D6" s="113"/>
      <c r="E6" s="113"/>
      <c r="F6" s="113"/>
    </row>
    <row r="7" spans="1:6" x14ac:dyDescent="0.2">
      <c r="A7" s="93" t="s">
        <v>449</v>
      </c>
      <c r="B7" s="119">
        <v>46194</v>
      </c>
      <c r="C7" s="119"/>
      <c r="D7" s="119"/>
      <c r="E7" s="119"/>
      <c r="F7" s="119"/>
    </row>
    <row r="9" spans="1:6" ht="27.95" customHeight="1" x14ac:dyDescent="0.25">
      <c r="A9" s="121" t="s">
        <v>452</v>
      </c>
      <c r="B9" s="120"/>
      <c r="C9" s="120"/>
      <c r="D9" s="120"/>
      <c r="E9" s="120"/>
      <c r="F9" s="120"/>
    </row>
    <row r="10" spans="1:6" ht="24.95" customHeight="1" x14ac:dyDescent="0.2">
      <c r="A10" s="122" t="s">
        <v>468</v>
      </c>
      <c r="B10" s="113"/>
      <c r="C10" s="113"/>
      <c r="D10" s="113"/>
      <c r="E10" s="113"/>
      <c r="F10" s="113"/>
    </row>
    <row r="11" spans="1:6" ht="24.95" customHeight="1" x14ac:dyDescent="0.2">
      <c r="A11" s="122" t="s">
        <v>469</v>
      </c>
      <c r="B11" s="113"/>
      <c r="C11" s="113"/>
      <c r="D11" s="113"/>
      <c r="E11" s="113"/>
      <c r="F11" s="113"/>
    </row>
    <row r="12" spans="1:6" ht="24.95" customHeight="1" x14ac:dyDescent="0.2">
      <c r="A12" s="122" t="s">
        <v>470</v>
      </c>
      <c r="B12" s="113"/>
      <c r="C12" s="113"/>
      <c r="D12" s="113"/>
      <c r="E12" s="113"/>
      <c r="F12" s="113"/>
    </row>
    <row r="13" spans="1:6" ht="24.95" customHeight="1" x14ac:dyDescent="0.2">
      <c r="A13" s="122" t="s">
        <v>471</v>
      </c>
      <c r="B13" s="113"/>
      <c r="C13" s="113"/>
      <c r="D13" s="113"/>
      <c r="E13" s="113"/>
      <c r="F13" s="113"/>
    </row>
    <row r="14" spans="1:6" ht="24.95" customHeight="1" x14ac:dyDescent="0.2">
      <c r="A14" s="122" t="s">
        <v>472</v>
      </c>
      <c r="B14" s="113"/>
      <c r="C14" s="113"/>
      <c r="D14" s="113"/>
      <c r="E14" s="113"/>
      <c r="F14" s="113"/>
    </row>
    <row r="16" spans="1:6" ht="27.95" customHeight="1" x14ac:dyDescent="0.25">
      <c r="A16" s="123" t="s">
        <v>453</v>
      </c>
      <c r="B16" s="113"/>
      <c r="C16" s="113"/>
      <c r="D16" s="113"/>
      <c r="E16" s="113"/>
      <c r="F16" s="113"/>
    </row>
    <row r="17" spans="1:6" ht="24.95" customHeight="1" x14ac:dyDescent="0.2">
      <c r="A17" s="124" t="s">
        <v>473</v>
      </c>
      <c r="B17" s="113"/>
      <c r="C17" s="113"/>
      <c r="D17" s="113"/>
      <c r="E17" s="113"/>
      <c r="F17" s="113"/>
    </row>
    <row r="18" spans="1:6" ht="24.95" customHeight="1" x14ac:dyDescent="0.2">
      <c r="A18" s="124" t="s">
        <v>474</v>
      </c>
      <c r="B18" s="113"/>
      <c r="C18" s="113"/>
      <c r="D18" s="113"/>
      <c r="E18" s="113"/>
      <c r="F18" s="113"/>
    </row>
    <row r="19" spans="1:6" ht="24.95" customHeight="1" x14ac:dyDescent="0.2">
      <c r="A19" s="124" t="s">
        <v>475</v>
      </c>
      <c r="B19" s="113"/>
      <c r="C19" s="113"/>
      <c r="D19" s="113"/>
      <c r="E19" s="113"/>
      <c r="F19" s="113"/>
    </row>
    <row r="20" spans="1:6" ht="24.95" customHeight="1" x14ac:dyDescent="0.2">
      <c r="A20" s="124" t="s">
        <v>476</v>
      </c>
      <c r="B20" s="113"/>
      <c r="C20" s="113"/>
      <c r="D20" s="113"/>
      <c r="E20" s="113"/>
      <c r="F20" s="113"/>
    </row>
    <row r="21" spans="1:6" ht="24.95" customHeight="1" x14ac:dyDescent="0.2">
      <c r="A21" s="124" t="s">
        <v>477</v>
      </c>
      <c r="B21" s="113"/>
      <c r="C21" s="113"/>
      <c r="D21" s="113"/>
      <c r="E21" s="113"/>
      <c r="F21" s="113"/>
    </row>
    <row r="23" spans="1:6" ht="27.95" customHeight="1" x14ac:dyDescent="0.25">
      <c r="A23" s="125" t="s">
        <v>454</v>
      </c>
      <c r="B23" s="113"/>
      <c r="C23" s="113"/>
      <c r="D23" s="113"/>
      <c r="E23" s="113"/>
      <c r="F23" s="113"/>
    </row>
    <row r="24" spans="1:6" x14ac:dyDescent="0.2">
      <c r="A24" s="132" t="s">
        <v>152</v>
      </c>
      <c r="B24" s="132" t="s">
        <v>455</v>
      </c>
      <c r="C24" s="132" t="s">
        <v>456</v>
      </c>
      <c r="D24" s="132" t="s">
        <v>457</v>
      </c>
    </row>
    <row r="25" spans="1:6" ht="24.95" customHeight="1" x14ac:dyDescent="0.2">
      <c r="A25" s="133">
        <v>1</v>
      </c>
      <c r="B25" s="133" t="s">
        <v>478</v>
      </c>
      <c r="C25" s="133" t="s">
        <v>20</v>
      </c>
      <c r="D25" s="133" t="s">
        <v>479</v>
      </c>
    </row>
    <row r="26" spans="1:6" ht="24.95" customHeight="1" x14ac:dyDescent="0.2">
      <c r="A26" s="133">
        <v>2</v>
      </c>
      <c r="B26" s="133" t="s">
        <v>480</v>
      </c>
      <c r="C26" s="133" t="s">
        <v>20</v>
      </c>
      <c r="D26" s="133" t="s">
        <v>479</v>
      </c>
    </row>
    <row r="27" spans="1:6" ht="24.95" customHeight="1" x14ac:dyDescent="0.2">
      <c r="A27" s="133">
        <v>3</v>
      </c>
      <c r="B27" s="133" t="s">
        <v>481</v>
      </c>
      <c r="C27" s="133" t="s">
        <v>18</v>
      </c>
      <c r="D27" s="133" t="s">
        <v>482</v>
      </c>
    </row>
    <row r="28" spans="1:6" ht="24.95" customHeight="1" x14ac:dyDescent="0.2">
      <c r="A28" s="133">
        <v>4</v>
      </c>
      <c r="B28" s="133" t="s">
        <v>483</v>
      </c>
      <c r="C28" s="133" t="s">
        <v>18</v>
      </c>
      <c r="D28" s="133" t="s">
        <v>484</v>
      </c>
    </row>
    <row r="29" spans="1:6" ht="24.95" customHeight="1" x14ac:dyDescent="0.2">
      <c r="A29" s="133">
        <v>5</v>
      </c>
      <c r="B29" s="133" t="s">
        <v>485</v>
      </c>
      <c r="C29" s="133" t="s">
        <v>22</v>
      </c>
      <c r="D29" s="133" t="s">
        <v>479</v>
      </c>
    </row>
    <row r="31" spans="1:6" ht="27.95" customHeight="1" x14ac:dyDescent="0.25">
      <c r="A31" s="126" t="s">
        <v>458</v>
      </c>
      <c r="B31" s="113"/>
      <c r="C31" s="113"/>
      <c r="D31" s="113"/>
      <c r="E31" s="113"/>
      <c r="F31" s="113"/>
    </row>
    <row r="32" spans="1:6" x14ac:dyDescent="0.2">
      <c r="A32" s="127" t="s">
        <v>459</v>
      </c>
      <c r="B32" s="128">
        <f>SUM('Sprint 1'!E11:E23)</f>
        <v>104</v>
      </c>
    </row>
    <row r="33" spans="1:6" x14ac:dyDescent="0.2">
      <c r="A33" s="127" t="s">
        <v>460</v>
      </c>
      <c r="B33" s="128">
        <f>B32-'Sprint 1'!S25</f>
        <v>104</v>
      </c>
    </row>
    <row r="34" spans="1:6" x14ac:dyDescent="0.2">
      <c r="A34" s="127" t="s">
        <v>461</v>
      </c>
      <c r="B34" s="129">
        <f>IF(B32=0,0,B33/B32)</f>
        <v>1</v>
      </c>
    </row>
    <row r="35" spans="1:6" x14ac:dyDescent="0.2">
      <c r="A35" s="127" t="s">
        <v>462</v>
      </c>
      <c r="B35" s="128">
        <f>COUNTIF('Sprint 1'!S11:S23,0)</f>
        <v>13</v>
      </c>
    </row>
    <row r="36" spans="1:6" x14ac:dyDescent="0.2">
      <c r="A36" s="127" t="s">
        <v>463</v>
      </c>
      <c r="B36" s="128">
        <f>COUNTA('Sprint 1'!A11:A23)</f>
        <v>13</v>
      </c>
    </row>
    <row r="37" spans="1:6" x14ac:dyDescent="0.2">
      <c r="A37" s="127" t="s">
        <v>464</v>
      </c>
      <c r="B37" s="128">
        <f>B33</f>
        <v>104</v>
      </c>
    </row>
    <row r="39" spans="1:6" ht="27.95" customHeight="1" x14ac:dyDescent="0.25">
      <c r="A39" s="131" t="s">
        <v>465</v>
      </c>
      <c r="B39" s="130"/>
      <c r="C39" s="130"/>
      <c r="D39" s="130"/>
      <c r="E39" s="130"/>
      <c r="F39" s="130"/>
    </row>
    <row r="40" spans="1:6" x14ac:dyDescent="0.2">
      <c r="A40" s="134" t="s">
        <v>466</v>
      </c>
      <c r="B40" s="134" t="s">
        <v>467</v>
      </c>
      <c r="C40" s="134" t="s">
        <v>6</v>
      </c>
    </row>
    <row r="41" spans="1:6" x14ac:dyDescent="0.2">
      <c r="A41" s="135" t="s">
        <v>100</v>
      </c>
      <c r="B41" s="135">
        <f>COUNTIF('Sprint 1'!D11:D23,A41)</f>
        <v>2</v>
      </c>
      <c r="C41" s="135" t="s">
        <v>486</v>
      </c>
    </row>
    <row r="42" spans="1:6" x14ac:dyDescent="0.2">
      <c r="A42" s="135" t="s">
        <v>107</v>
      </c>
      <c r="B42" s="135">
        <f>COUNTIF('Sprint 1'!D11:D23,A42)</f>
        <v>2</v>
      </c>
      <c r="C42" s="135" t="s">
        <v>487</v>
      </c>
    </row>
    <row r="43" spans="1:6" x14ac:dyDescent="0.2">
      <c r="A43" s="135" t="s">
        <v>19</v>
      </c>
      <c r="B43" s="135">
        <f>COUNTIF('Sprint 1'!D11:D23,A43)</f>
        <v>3</v>
      </c>
      <c r="C43" s="135" t="s">
        <v>488</v>
      </c>
    </row>
    <row r="44" spans="1:6" x14ac:dyDescent="0.2">
      <c r="A44" s="135" t="s">
        <v>118</v>
      </c>
      <c r="B44" s="135">
        <f>COUNTIF('Sprint 1'!D11:D23,A44)</f>
        <v>6</v>
      </c>
      <c r="C44" s="135" t="s">
        <v>489</v>
      </c>
    </row>
    <row r="45" spans="1:6" x14ac:dyDescent="0.2">
      <c r="A45" s="135" t="s">
        <v>133</v>
      </c>
      <c r="B45" s="135">
        <f>COUNTIF('Sprint 1'!D11:D23,A45)</f>
        <v>0</v>
      </c>
      <c r="C45" s="135" t="s">
        <v>490</v>
      </c>
    </row>
  </sheetData>
  <mergeCells count="21">
    <mergeCell ref="A23:F23"/>
    <mergeCell ref="A31:F31"/>
    <mergeCell ref="A39:F39"/>
    <mergeCell ref="A16:F16"/>
    <mergeCell ref="A17:F17"/>
    <mergeCell ref="A18:F18"/>
    <mergeCell ref="A19:F19"/>
    <mergeCell ref="A20:F20"/>
    <mergeCell ref="A21:F21"/>
    <mergeCell ref="A9:F9"/>
    <mergeCell ref="A10:F10"/>
    <mergeCell ref="A11:F11"/>
    <mergeCell ref="A12:F12"/>
    <mergeCell ref="A13:F13"/>
    <mergeCell ref="A14:F14"/>
    <mergeCell ref="A1:F1"/>
    <mergeCell ref="B3:F3"/>
    <mergeCell ref="B4:F4"/>
    <mergeCell ref="B5:F5"/>
    <mergeCell ref="B6:F6"/>
    <mergeCell ref="B7:F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CD5BF1D25B04C4DAFCC598A42891EA8" ma:contentTypeVersion="2" ma:contentTypeDescription="Create a new document." ma:contentTypeScope="" ma:versionID="45b73b173887e5427e1a7d1313c48df7">
  <xsd:schema xmlns:xsd="http://www.w3.org/2001/XMLSchema" xmlns:xs="http://www.w3.org/2001/XMLSchema" xmlns:p="http://schemas.microsoft.com/office/2006/metadata/properties" xmlns:ns2="2bbb67f6-bffc-474b-aafb-fa77ef9cf4e0" targetNamespace="http://schemas.microsoft.com/office/2006/metadata/properties" ma:root="true" ma:fieldsID="9d8638d06aff927da092ea6a13d6d28c" ns2:_="">
    <xsd:import namespace="2bbb67f6-bffc-474b-aafb-fa77ef9cf4e0"/>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bb67f6-bffc-474b-aafb-fa77ef9cf4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BE0C23A-5102-4081-835D-8A52FB2528A5}">
  <ds:schemaRefs>
    <ds:schemaRef ds:uri="http://schemas.microsoft.com/sharepoint/v3/contenttype/forms"/>
  </ds:schemaRefs>
</ds:datastoreItem>
</file>

<file path=customXml/itemProps2.xml><?xml version="1.0" encoding="utf-8"?>
<ds:datastoreItem xmlns:ds="http://schemas.openxmlformats.org/officeDocument/2006/customXml" ds:itemID="{554BC761-B369-43F7-8379-D7BE3B6A4E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bb67f6-bffc-474b-aafb-fa77ef9cf4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Product backlog</vt:lpstr>
      <vt:lpstr>Sprint 1</vt:lpstr>
      <vt:lpstr>Sprint 2</vt:lpstr>
      <vt:lpstr>Emergency Guide</vt:lpstr>
      <vt:lpstr>Sprint 1 Retrospective</vt:lpstr>
    </vt:vector>
  </TitlesOfParts>
  <Manager/>
  <Company>VILLE DE LUXEMBOURG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Olivier Gérardin</dc:creator>
  <cp:keywords/>
  <dc:description/>
  <cp:lastModifiedBy>Tracy Pillow</cp:lastModifiedBy>
  <cp:revision/>
  <dcterms:created xsi:type="dcterms:W3CDTF">2009-04-30T08:53:36Z</dcterms:created>
  <dcterms:modified xsi:type="dcterms:W3CDTF">2026-06-20T02:16:33Z</dcterms:modified>
  <cp:category/>
  <cp:contentStatus/>
</cp:coreProperties>
</file>